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<sst xmlns="http://schemas.openxmlformats.org/spreadsheetml/2006/main" count="213" uniqueCount="71">
  <si>
    <t xml:space="preserve">Макаров Алексей, вариант 87 % 40=7, lab5.ods</t>
  </si>
  <si>
    <t xml:space="preserve">ОДЗ:</t>
  </si>
  <si>
    <t xml:space="preserve">[-32768; 32767]</t>
  </si>
  <si>
    <t xml:space="preserve">A=</t>
  </si>
  <si>
    <t xml:space="preserve">C=</t>
  </si>
  <si>
    <t xml:space="preserve">'</t>
  </si>
  <si>
    <t xml:space="preserve">X1=</t>
  </si>
  <si>
    <t xml:space="preserve">B1=</t>
  </si>
  <si>
    <t xml:space="preserve">X2=</t>
  </si>
  <si>
    <t xml:space="preserve">B2=</t>
  </si>
  <si>
    <t xml:space="preserve">X3=</t>
  </si>
  <si>
    <t xml:space="preserve">A+C=</t>
  </si>
  <si>
    <t xml:space="preserve">B3=</t>
  </si>
  <si>
    <t xml:space="preserve">X4=</t>
  </si>
  <si>
    <t xml:space="preserve">A+C+C=</t>
  </si>
  <si>
    <t xml:space="preserve">B4=</t>
  </si>
  <si>
    <t xml:space="preserve">X5=</t>
  </si>
  <si>
    <t xml:space="preserve">C-A=</t>
  </si>
  <si>
    <t xml:space="preserve">B5=</t>
  </si>
  <si>
    <t xml:space="preserve">X6=</t>
  </si>
  <si>
    <t xml:space="preserve">65536-X4=</t>
  </si>
  <si>
    <t xml:space="preserve">B6=</t>
  </si>
  <si>
    <t xml:space="preserve">X7=</t>
  </si>
  <si>
    <t xml:space="preserve">-X1=</t>
  </si>
  <si>
    <t xml:space="preserve">B7=</t>
  </si>
  <si>
    <t xml:space="preserve">-B1=</t>
  </si>
  <si>
    <t xml:space="preserve">X8=</t>
  </si>
  <si>
    <t xml:space="preserve">-X2=</t>
  </si>
  <si>
    <t xml:space="preserve">B8=</t>
  </si>
  <si>
    <t xml:space="preserve">-B2=</t>
  </si>
  <si>
    <t xml:space="preserve">X9=</t>
  </si>
  <si>
    <t xml:space="preserve">-X3=</t>
  </si>
  <si>
    <t xml:space="preserve">B9=</t>
  </si>
  <si>
    <t xml:space="preserve">-B3=</t>
  </si>
  <si>
    <t xml:space="preserve">X10=</t>
  </si>
  <si>
    <t xml:space="preserve">-X4=</t>
  </si>
  <si>
    <t xml:space="preserve">B10=</t>
  </si>
  <si>
    <t xml:space="preserve">-B4=</t>
  </si>
  <si>
    <t xml:space="preserve">X11=</t>
  </si>
  <si>
    <t xml:space="preserve">-X5=</t>
  </si>
  <si>
    <t xml:space="preserve">B11=</t>
  </si>
  <si>
    <t xml:space="preserve">-B5=</t>
  </si>
  <si>
    <t xml:space="preserve">X12=</t>
  </si>
  <si>
    <t xml:space="preserve">-X6=</t>
  </si>
  <si>
    <t xml:space="preserve">B12=</t>
  </si>
  <si>
    <t xml:space="preserve">-B6=</t>
  </si>
  <si>
    <r>
      <rPr>
        <sz val="11"/>
        <color rgb="FF000000"/>
        <rFont val="Calibri"/>
        <family val="0"/>
        <charset val="1"/>
      </rPr>
      <t xml:space="preserve">B1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</si>
  <si>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X1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</si>
  <si>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t xml:space="preserve">+</t>
  </si>
  <si>
    <r>
      <rPr>
        <sz val="11"/>
        <color rgb="FF000000"/>
        <rFont val="Calibri"/>
        <family val="0"/>
        <charset val="1"/>
      </rPr>
      <t xml:space="preserve">B2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</si>
  <si>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X2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</si>
  <si>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t xml:space="preserve">.</t>
  </si>
  <si>
    <r>
      <rPr>
        <vertAlign val="subscript"/>
        <sz val="10"/>
        <color rgb="FF000000"/>
        <rFont val="Calibri"/>
        <family val="0"/>
        <charset val="1"/>
      </rPr>
      <t xml:space="preserve">(2)</t>
    </r>
    <r>
      <rPr>
        <sz val="11"/>
        <color rgb="FF000000"/>
        <rFont val="Calibri"/>
        <family val="0"/>
        <charset val="1"/>
      </rPr>
      <t xml:space="preserve">=</t>
    </r>
  </si>
  <si>
    <r>
      <rPr>
        <vertAlign val="subscript"/>
        <sz val="10"/>
        <color rgb="FF000000"/>
        <rFont val="Calibri"/>
        <family val="0"/>
        <charset val="1"/>
      </rPr>
      <t xml:space="preserve">(10)</t>
    </r>
    <r>
      <rPr>
        <vertAlign val="subscript"/>
        <sz val="10"/>
        <color theme="0"/>
        <rFont val="Calibri"/>
        <family val="0"/>
        <charset val="1"/>
      </rPr>
      <t xml:space="preserve"> </t>
    </r>
    <r>
      <rPr>
        <sz val="11"/>
        <color theme="0"/>
        <rFont val="Calibri"/>
        <family val="0"/>
        <charset val="1"/>
      </rPr>
      <t xml:space="preserve">=</t>
    </r>
  </si>
  <si>
    <t xml:space="preserve">CF=</t>
  </si>
  <si>
    <t xml:space="preserve">PF=</t>
  </si>
  <si>
    <t xml:space="preserve">AF=</t>
  </si>
  <si>
    <t xml:space="preserve">ZF=</t>
  </si>
  <si>
    <t xml:space="preserve">SF=</t>
  </si>
  <si>
    <t xml:space="preserve">OF=</t>
  </si>
  <si>
    <r>
      <rPr>
        <sz val="11"/>
        <color rgb="FF000000"/>
        <rFont val="Calibri"/>
        <family val="0"/>
        <charset val="1"/>
      </rPr>
      <t xml:space="preserve">B3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</si>
  <si>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X3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</si>
  <si>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B7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</si>
  <si>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X7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</si>
  <si>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B8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</si>
  <si>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X8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</si>
  <si>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B9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</si>
  <si>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X9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</si>
  <si>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B11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</si>
  <si>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r>
      <rPr>
        <sz val="11"/>
        <color rgb="FF000000"/>
        <rFont val="Calibri"/>
        <family val="0"/>
        <charset val="1"/>
      </rPr>
      <t xml:space="preserve">X11</t>
    </r>
    <r>
      <rPr>
        <vertAlign val="subscript"/>
        <sz val="10"/>
        <color rgb="FF000000"/>
        <rFont val="Calibri"/>
        <family val="0"/>
        <charset val="1"/>
      </rPr>
      <t xml:space="preserve">(2)</t>
    </r>
  </si>
  <si>
    <t xml:space="preserve">Файл создан 14.12.2025 19:04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</si>
</sst>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</font>
    <font>
      <sz val="8"/>
      <name val="Adwaita Sans"/>
      <family val="2"/>
      <charset val="1"/>
    </font>
    <font>
      <sz val="11"/>
      <color theme="1"/>
      <name val="Aptos Narrow"/>
      <family val="0"/>
    </font>
    <font>
      <sz val="10"/>
      <name val="Times New Roman"/>
      <family val="1"/>
    </font>
    <font>
      <sz val="11"/>
      <color rgb="FF000000"/>
      <name val="Calibri"/>
      <family val="0"/>
      <charset val="1"/>
    </font>
    <font>
      <vertAlign val="subscript"/>
      <sz val="10"/>
      <color rgb="FF000000"/>
      <name val="Calibri"/>
      <family val="0"/>
      <charset val="1"/>
    </font>
    <font>
      <sz val="11"/>
      <color theme="1"/>
      <name val="Aptos Narrow"/>
      <family val="0"/>
      <charset val="1"/>
    </font>
    <font>
      <sz val="8"/>
      <color theme="1"/>
      <name val="Adwaita Sans"/>
      <family val="2"/>
      <charset val="1"/>
    </font>
    <font>
      <sz val="11"/>
      <color theme="1"/>
      <name val="Aptos Narrow"/>
      <family val="2"/>
      <charset val="1"/>
    </font>
    <font>
      <sz val="11"/>
      <color theme="0"/>
      <name val="Aptos Narrow"/>
      <family val="0"/>
      <charset val="1"/>
    </font>
    <font>
      <vertAlign val="subscript"/>
      <sz val="10"/>
      <color theme="0"/>
      <name val="Calibri"/>
      <family val="0"/>
      <charset val="1"/>
    </font>
    <font>
      <sz val="11"/>
      <color theme="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italics" xfId="20"/>
  </cellStyles>
  <dxfs count="1">
    <dxf>
      <font>
        <i val="1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0"/>
  <sheetViews>
    <sheetView showFormulas="false" showGridLines="true" showRowColHeaders="true" showZeros="true" rightToLeft="false" tabSelected="true" showOutlineSymbols="true" defaultGridColor="true" view="normal" topLeftCell="B1" colorId="64" zoomScale="117" zoomScaleNormal="117" zoomScalePageLayoutView="100" workbookViewId="0">
      <selection pane="topLeft" activeCell="O18" activeCellId="0" sqref="O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4" min="6" style="0" width="3.48"/>
    <col collapsed="false" customWidth="true" hidden="false" outlineLevel="0" max="25" min="25" style="0" width="5.73"/>
    <col collapsed="false" customWidth="true" hidden="false" outlineLevel="0" max="26" min="26" style="0" width="6.69"/>
    <col collapsed="false" customWidth="true" hidden="false" outlineLevel="0" max="32" min="27" style="0" width="5.73"/>
    <col collapsed="false" customWidth="true" hidden="false" outlineLevel="0" max="33" min="33" style="0" width="7.54"/>
    <col collapsed="false" customWidth="true" hidden="false" outlineLevel="0" max="34" min="34" style="0" width="5.73"/>
    <col collapsed="false" customWidth="true" hidden="false" outlineLevel="0" max="35" min="35" style="1" width="24.32"/>
  </cols>
  <sheetData>
    <row r="1" customFormat="false" ht="12.8" hidden="false" customHeight="false" outlineLevel="0" collapsed="false">
      <c r="A1" s="0" t="s">
        <v>0</v>
      </c>
    </row>
    <row r="3" customFormat="false" ht="13.8" hidden="false" customHeight="false" outlineLevel="0" collapsed="false">
      <c r="A3" s="2" t="s">
        <v>1</v>
      </c>
      <c r="B3" s="0" t="s">
        <v>2</v>
      </c>
    </row>
    <row r="5" customFormat="false" ht="12.8" hidden="false" customHeight="false" outlineLevel="0" collapsed="false">
      <c r="A5" s="0" t="s">
        <v>3</v>
      </c>
      <c r="C5" s="3" t="n">
        <v>1</v>
      </c>
    </row>
    <row r="6" customFormat="false" ht="12.8" hidden="false" customHeight="false" outlineLevel="0" collapsed="false">
      <c r="A6" s="0" t="s">
        <v>4</v>
      </c>
      <c r="C6" s="3" t="n">
        <v>-1</v>
      </c>
      <c r="F6" s="4" t="n">
        <f aca="false">15</f>
        <v>15</v>
      </c>
      <c r="G6" s="5" t="n">
        <f aca="false">F6-1</f>
        <v>14</v>
      </c>
      <c r="H6" s="5" t="n">
        <f aca="false">G6-1</f>
        <v>13</v>
      </c>
      <c r="I6" s="5" t="n">
        <f aca="false">H6-1</f>
        <v>12</v>
      </c>
      <c r="J6" s="5" t="s">
        <v>5</v>
      </c>
      <c r="K6" s="5" t="n">
        <f aca="false">I6-1</f>
        <v>11</v>
      </c>
      <c r="L6" s="5" t="n">
        <f aca="false">K6-1</f>
        <v>10</v>
      </c>
      <c r="M6" s="5" t="n">
        <f aca="false">L6-1</f>
        <v>9</v>
      </c>
      <c r="N6" s="5" t="n">
        <f aca="false">M6-1</f>
        <v>8</v>
      </c>
      <c r="O6" s="5" t="s">
        <v>5</v>
      </c>
      <c r="P6" s="5" t="n">
        <f aca="false">N6-1</f>
        <v>7</v>
      </c>
      <c r="Q6" s="5" t="n">
        <f aca="false">P6-1</f>
        <v>6</v>
      </c>
      <c r="R6" s="5" t="n">
        <f aca="false">Q6-1</f>
        <v>5</v>
      </c>
      <c r="S6" s="5" t="n">
        <f aca="false">R6-1</f>
        <v>4</v>
      </c>
      <c r="T6" s="5" t="s">
        <v>5</v>
      </c>
      <c r="U6" s="5" t="n">
        <f aca="false">S6-1</f>
        <v>3</v>
      </c>
      <c r="V6" s="5" t="n">
        <f aca="false">U6-1</f>
        <v>2</v>
      </c>
      <c r="W6" s="5" t="n">
        <f aca="false">V6-1</f>
        <v>1</v>
      </c>
      <c r="X6" s="6" t="n">
        <f aca="false">W6-1</f>
        <v>0</v>
      </c>
    </row>
    <row r="7" customFormat="false" ht="12.8" hidden="false" customHeight="false" outlineLevel="0" collapsed="false">
      <c r="A7" s="0" t="s">
        <v>6</v>
      </c>
      <c r="B7" s="0" t="s">
        <v>3</v>
      </c>
      <c r="C7" s="0" t="n">
        <f aca="false">C5</f>
        <v>1</v>
      </c>
      <c r="D7" s="0" t="s">
        <v>7</v>
      </c>
      <c r="F7" s="7" t="n">
        <f aca="false">IF(C7&gt;=0, 0, 1)</f>
        <v>0</v>
      </c>
      <c r="G7" s="8" t="n">
        <f aca="false">IF(MOD($C7,2^$F$6)&gt;=2^$G$6,1,0)</f>
        <v>0</v>
      </c>
      <c r="H7" s="8" t="n">
        <f aca="false">IF(MOD($C7,2^$G$6)&gt;=2^$H$6,1,0)</f>
        <v>0</v>
      </c>
      <c r="I7" s="8" t="n">
        <f aca="false">IF(MOD($C7,2^$H$6)&gt;=2^$I$6,1,0)</f>
        <v>0</v>
      </c>
      <c r="J7" s="8" t="s">
        <v>5</v>
      </c>
      <c r="K7" s="8" t="n">
        <f aca="false">IF(MOD($C7,2^$I$6)&gt;=2^$K$6,1,0)</f>
        <v>0</v>
      </c>
      <c r="L7" s="8" t="n">
        <f aca="false">IF(MOD($C7,2^$K$6)&gt;=2^$L$6,1,0)</f>
        <v>0</v>
      </c>
      <c r="M7" s="8" t="n">
        <f aca="false">IF(MOD($C7,2^L$6)&gt;=2^M$6,1,0)</f>
        <v>0</v>
      </c>
      <c r="N7" s="8" t="n">
        <f aca="false">IF(MOD($C7,2^M$6)&gt;=2^N$6,1,0)</f>
        <v>0</v>
      </c>
      <c r="O7" s="8" t="s">
        <v>5</v>
      </c>
      <c r="P7" s="8" t="n">
        <f aca="false">IF(MOD($C7,2^N$6)&gt;=2^P$6,1,0)</f>
        <v>0</v>
      </c>
      <c r="Q7" s="8" t="n">
        <f aca="false">IF(MOD($C7,2^P$6)&gt;=2^Q$6,1,0)</f>
        <v>0</v>
      </c>
      <c r="R7" s="8" t="n">
        <f aca="false">IF(MOD($C7,2^Q$6)&gt;=2^R$6,1,0)</f>
        <v>0</v>
      </c>
      <c r="S7" s="8" t="n">
        <f aca="false">IF(MOD($C7,2^R$6)&gt;=2^S$6,1,0)</f>
        <v>0</v>
      </c>
      <c r="T7" s="8" t="s">
        <v>5</v>
      </c>
      <c r="U7" s="8" t="n">
        <f aca="false">IF(MOD($C7,2^S$6)&gt;=2^U$6,1,0)</f>
        <v>0</v>
      </c>
      <c r="V7" s="8" t="n">
        <f aca="false">IF(MOD($C7,2^U$6)&gt;=2^V$6,1,0)</f>
        <v>0</v>
      </c>
      <c r="W7" s="8" t="n">
        <f aca="false">IF(MOD($C7,2^V$6)&gt;=2^W$6,1,0)</f>
        <v>0</v>
      </c>
      <c r="X7" s="9" t="n">
        <f aca="false">IF(MOD($C7,2^W$6)&gt;=2^X$6,1,0)</f>
        <v>1</v>
      </c>
    </row>
    <row r="8" customFormat="false" ht="12.8" hidden="false" customHeight="false" outlineLevel="0" collapsed="false">
      <c r="A8" s="0" t="s">
        <v>8</v>
      </c>
      <c r="B8" s="0" t="s">
        <v>4</v>
      </c>
      <c r="C8" s="0" t="n">
        <f aca="false">C6</f>
        <v>-1</v>
      </c>
      <c r="D8" s="0" t="s">
        <v>9</v>
      </c>
      <c r="F8" s="10" t="n">
        <f aca="false">IF(C8&gt;=0, 0, 1)</f>
        <v>1</v>
      </c>
      <c r="G8" s="11" t="n">
        <f aca="false">IF(MOD($C8,2^$F$6)&gt;=2^$G$6,1,0)</f>
        <v>1</v>
      </c>
      <c r="H8" s="11" t="n">
        <f aca="false">IF(MOD($C8,2^$G$6)&gt;=2^$H$6,1,0)</f>
        <v>1</v>
      </c>
      <c r="I8" s="11" t="n">
        <f aca="false">IF(MOD($C8,2^$H$6)&gt;=2^$I$6,1,0)</f>
        <v>1</v>
      </c>
      <c r="J8" s="11" t="s">
        <v>5</v>
      </c>
      <c r="K8" s="11" t="n">
        <f aca="false">IF(MOD($C8,2^$I$6)&gt;=2^$K$6,1,0)</f>
        <v>1</v>
      </c>
      <c r="L8" s="11" t="n">
        <f aca="false">IF(MOD($C8,2^$K$6)&gt;=2^$L$6,1,0)</f>
        <v>1</v>
      </c>
      <c r="M8" s="11" t="n">
        <f aca="false">IF(MOD($C8,2^L$6)&gt;=2^M$6,1,0)</f>
        <v>1</v>
      </c>
      <c r="N8" s="11" t="n">
        <f aca="false">IF(MOD($C8,2^M$6)&gt;=2^N$6,1,0)</f>
        <v>1</v>
      </c>
      <c r="O8" s="11" t="s">
        <v>5</v>
      </c>
      <c r="P8" s="11" t="n">
        <f aca="false">IF(MOD($C8,2^N$6)&gt;=2^P$6,1,0)</f>
        <v>1</v>
      </c>
      <c r="Q8" s="11" t="n">
        <f aca="false">IF(MOD($C8,2^P$6)&gt;=2^Q$6,1,0)</f>
        <v>1</v>
      </c>
      <c r="R8" s="11" t="n">
        <f aca="false">IF(MOD($C8,2^Q$6)&gt;=2^R$6,1,0)</f>
        <v>1</v>
      </c>
      <c r="S8" s="11" t="n">
        <f aca="false">IF(MOD($C8,2^R$6)&gt;=2^S$6,1,0)</f>
        <v>1</v>
      </c>
      <c r="T8" s="11" t="s">
        <v>5</v>
      </c>
      <c r="U8" s="11" t="n">
        <f aca="false">IF(MOD($C8,2^S$6)&gt;=2^U$6,1,0)</f>
        <v>1</v>
      </c>
      <c r="V8" s="11" t="n">
        <f aca="false">IF(MOD($C8,2^U$6)&gt;=2^V$6,1,0)</f>
        <v>1</v>
      </c>
      <c r="W8" s="11" t="n">
        <f aca="false">IF(MOD($C8,2^V$6)&gt;=2^W$6,1,0)</f>
        <v>1</v>
      </c>
      <c r="X8" s="12" t="n">
        <f aca="false">IF(MOD($C8,2^W$6)&gt;=2^X$6,1,0)</f>
        <v>1</v>
      </c>
    </row>
    <row r="9" customFormat="false" ht="12.8" hidden="false" customHeight="false" outlineLevel="0" collapsed="false">
      <c r="A9" s="0" t="s">
        <v>10</v>
      </c>
      <c r="B9" s="0" t="s">
        <v>11</v>
      </c>
      <c r="C9" s="0" t="n">
        <f aca="false">C5+C6</f>
        <v>0</v>
      </c>
      <c r="D9" s="0" t="s">
        <v>12</v>
      </c>
      <c r="F9" s="10" t="n">
        <f aca="false">IF(C9&gt;=0, 0, 1)</f>
        <v>0</v>
      </c>
      <c r="G9" s="11" t="n">
        <f aca="false">IF(MOD($C9,2^$F$6)&gt;=2^$G$6,1,0)</f>
        <v>0</v>
      </c>
      <c r="H9" s="11" t="n">
        <f aca="false">IF(MOD($C9,2^$G$6)&gt;=2^$H$6,1,0)</f>
        <v>0</v>
      </c>
      <c r="I9" s="11" t="n">
        <f aca="false">IF(MOD($C9,2^$H$6)&gt;=2^$I$6,1,0)</f>
        <v>0</v>
      </c>
      <c r="J9" s="11" t="s">
        <v>5</v>
      </c>
      <c r="K9" s="11" t="n">
        <f aca="false">IF(MOD($C9,2^$I$6)&gt;=2^$K$6,1,0)</f>
        <v>0</v>
      </c>
      <c r="L9" s="11" t="n">
        <f aca="false">IF(MOD($C9,2^$K$6)&gt;=2^$L$6,1,0)</f>
        <v>0</v>
      </c>
      <c r="M9" s="11" t="n">
        <f aca="false">IF(MOD($C9,2^L$6)&gt;=2^M$6,1,0)</f>
        <v>0</v>
      </c>
      <c r="N9" s="11" t="n">
        <f aca="false">IF(MOD($C9,2^M$6)&gt;=2^N$6,1,0)</f>
        <v>0</v>
      </c>
      <c r="O9" s="11" t="s">
        <v>5</v>
      </c>
      <c r="P9" s="11" t="n">
        <f aca="false">IF(MOD($C9,2^N$6)&gt;=2^P$6,1,0)</f>
        <v>0</v>
      </c>
      <c r="Q9" s="11" t="n">
        <f aca="false">IF(MOD($C9,2^P$6)&gt;=2^Q$6,1,0)</f>
        <v>0</v>
      </c>
      <c r="R9" s="11" t="n">
        <f aca="false">IF(MOD($C9,2^Q$6)&gt;=2^R$6,1,0)</f>
        <v>0</v>
      </c>
      <c r="S9" s="11" t="n">
        <f aca="false">IF(MOD($C9,2^R$6)&gt;=2^S$6,1,0)</f>
        <v>0</v>
      </c>
      <c r="T9" s="11" t="s">
        <v>5</v>
      </c>
      <c r="U9" s="11" t="n">
        <f aca="false">IF(MOD($C9,2^S$6)&gt;=2^U$6,1,0)</f>
        <v>0</v>
      </c>
      <c r="V9" s="11" t="n">
        <f aca="false">IF(MOD($C9,2^U$6)&gt;=2^V$6,1,0)</f>
        <v>0</v>
      </c>
      <c r="W9" s="11" t="n">
        <f aca="false">IF(MOD($C9,2^V$6)&gt;=2^W$6,1,0)</f>
        <v>0</v>
      </c>
      <c r="X9" s="12" t="n">
        <f aca="false">IF(MOD($C9,2^W$6)&gt;=2^X$6,1,0)</f>
        <v>0</v>
      </c>
    </row>
    <row r="10" customFormat="false" ht="12.8" hidden="false" customHeight="false" outlineLevel="0" collapsed="false">
      <c r="A10" s="0" t="s">
        <v>13</v>
      </c>
      <c r="B10" s="0" t="s">
        <v>14</v>
      </c>
      <c r="C10" s="0" t="n">
        <f aca="false">C5+C6+C6</f>
        <v>-1</v>
      </c>
      <c r="D10" s="0" t="s">
        <v>15</v>
      </c>
      <c r="F10" s="10" t="n">
        <f aca="false">IF(C10&gt;=0, 0, 1)</f>
        <v>1</v>
      </c>
      <c r="G10" s="11" t="n">
        <f aca="false">IF(MOD($C10,2^$F$6)&gt;=2^$G$6,1,0)</f>
        <v>1</v>
      </c>
      <c r="H10" s="11" t="n">
        <f aca="false">IF(MOD($C10,2^$G$6)&gt;=2^$H$6,1,0)</f>
        <v>1</v>
      </c>
      <c r="I10" s="11" t="n">
        <f aca="false">IF(MOD($C10,2^$H$6)&gt;=2^$I$6,1,0)</f>
        <v>1</v>
      </c>
      <c r="J10" s="11" t="s">
        <v>5</v>
      </c>
      <c r="K10" s="11" t="n">
        <f aca="false">IF(MOD($C10,2^$I$6)&gt;=2^$K$6,1,0)</f>
        <v>1</v>
      </c>
      <c r="L10" s="11" t="n">
        <f aca="false">IF(MOD($C10,2^$K$6)&gt;=2^$L$6,1,0)</f>
        <v>1</v>
      </c>
      <c r="M10" s="11" t="n">
        <f aca="false">IF(MOD($C10,2^L$6)&gt;=2^M$6,1,0)</f>
        <v>1</v>
      </c>
      <c r="N10" s="11" t="n">
        <f aca="false">IF(MOD($C10,2^M$6)&gt;=2^N$6,1,0)</f>
        <v>1</v>
      </c>
      <c r="O10" s="11" t="s">
        <v>5</v>
      </c>
      <c r="P10" s="11" t="n">
        <f aca="false">IF(MOD($C10,2^N$6)&gt;=2^P$6,1,0)</f>
        <v>1</v>
      </c>
      <c r="Q10" s="11" t="n">
        <f aca="false">IF(MOD($C10,2^P$6)&gt;=2^Q$6,1,0)</f>
        <v>1</v>
      </c>
      <c r="R10" s="11" t="n">
        <f aca="false">IF(MOD($C10,2^Q$6)&gt;=2^R$6,1,0)</f>
        <v>1</v>
      </c>
      <c r="S10" s="11" t="n">
        <f aca="false">IF(MOD($C10,2^R$6)&gt;=2^S$6,1,0)</f>
        <v>1</v>
      </c>
      <c r="T10" s="11" t="s">
        <v>5</v>
      </c>
      <c r="U10" s="11" t="n">
        <f aca="false">IF(MOD($C10,2^S$6)&gt;=2^U$6,1,0)</f>
        <v>1</v>
      </c>
      <c r="V10" s="11" t="n">
        <f aca="false">IF(MOD($C10,2^U$6)&gt;=2^V$6,1,0)</f>
        <v>1</v>
      </c>
      <c r="W10" s="11" t="n">
        <f aca="false">IF(MOD($C10,2^V$6)&gt;=2^W$6,1,0)</f>
        <v>1</v>
      </c>
      <c r="X10" s="12" t="n">
        <f aca="false">IF(MOD($C10,2^W$6)&gt;=2^X$6,1,0)</f>
        <v>1</v>
      </c>
    </row>
    <row r="11" customFormat="false" ht="12.8" hidden="false" customHeight="false" outlineLevel="0" collapsed="false">
      <c r="A11" s="0" t="s">
        <v>16</v>
      </c>
      <c r="B11" s="0" t="s">
        <v>17</v>
      </c>
      <c r="C11" s="0" t="n">
        <f aca="false">C6-C5</f>
        <v>-2</v>
      </c>
      <c r="D11" s="0" t="s">
        <v>18</v>
      </c>
      <c r="F11" s="10" t="n">
        <f aca="false">IF(C11&gt;=0, 0, 1)</f>
        <v>1</v>
      </c>
      <c r="G11" s="11" t="n">
        <f aca="false">IF(MOD($C11,2^$F$6)&gt;=2^$G$6,1,0)</f>
        <v>1</v>
      </c>
      <c r="H11" s="11" t="n">
        <f aca="false">IF(MOD($C11,2^$G$6)&gt;=2^$H$6,1,0)</f>
        <v>1</v>
      </c>
      <c r="I11" s="11" t="n">
        <f aca="false">IF(MOD($C11,2^$H$6)&gt;=2^$I$6,1,0)</f>
        <v>1</v>
      </c>
      <c r="J11" s="11" t="s">
        <v>5</v>
      </c>
      <c r="K11" s="11" t="n">
        <f aca="false">IF(MOD($C11,2^$I$6)&gt;=2^$K$6,1,0)</f>
        <v>1</v>
      </c>
      <c r="L11" s="11" t="n">
        <f aca="false">IF(MOD($C11,2^$K$6)&gt;=2^$L$6,1,0)</f>
        <v>1</v>
      </c>
      <c r="M11" s="11" t="n">
        <f aca="false">IF(MOD($C11,2^L$6)&gt;=2^M$6,1,0)</f>
        <v>1</v>
      </c>
      <c r="N11" s="11" t="n">
        <f aca="false">IF(MOD($C11,2^M$6)&gt;=2^N$6,1,0)</f>
        <v>1</v>
      </c>
      <c r="O11" s="11" t="s">
        <v>5</v>
      </c>
      <c r="P11" s="11" t="n">
        <f aca="false">IF(MOD($C11,2^N$6)&gt;=2^P$6,1,0)</f>
        <v>1</v>
      </c>
      <c r="Q11" s="11" t="n">
        <f aca="false">IF(MOD($C11,2^P$6)&gt;=2^Q$6,1,0)</f>
        <v>1</v>
      </c>
      <c r="R11" s="11" t="n">
        <f aca="false">IF(MOD($C11,2^Q$6)&gt;=2^R$6,1,0)</f>
        <v>1</v>
      </c>
      <c r="S11" s="11" t="n">
        <f aca="false">IF(MOD($C11,2^R$6)&gt;=2^S$6,1,0)</f>
        <v>1</v>
      </c>
      <c r="T11" s="11" t="s">
        <v>5</v>
      </c>
      <c r="U11" s="11" t="n">
        <f aca="false">IF(MOD($C11,2^S$6)&gt;=2^U$6,1,0)</f>
        <v>1</v>
      </c>
      <c r="V11" s="11" t="n">
        <f aca="false">IF(MOD($C11,2^U$6)&gt;=2^V$6,1,0)</f>
        <v>1</v>
      </c>
      <c r="W11" s="11" t="n">
        <f aca="false">IF(MOD($C11,2^V$6)&gt;=2^W$6,1,0)</f>
        <v>1</v>
      </c>
      <c r="X11" s="12" t="n">
        <f aca="false">IF(MOD($C11,2^W$6)&gt;=2^X$6,1,0)</f>
        <v>0</v>
      </c>
    </row>
    <row r="12" customFormat="false" ht="12.8" hidden="false" customHeight="false" outlineLevel="0" collapsed="false">
      <c r="A12" s="0" t="s">
        <v>19</v>
      </c>
      <c r="B12" s="0" t="s">
        <v>20</v>
      </c>
      <c r="C12" s="0" t="n">
        <f aca="false">65536-C10</f>
        <v>65537</v>
      </c>
      <c r="D12" s="0" t="s">
        <v>21</v>
      </c>
      <c r="F12" s="10" t="n">
        <f aca="false">IF(C12&gt;=0, 0, 1)</f>
        <v>0</v>
      </c>
      <c r="G12" s="11" t="n">
        <f aca="false">IF(MOD($C12,2^$F$6)&gt;=2^$G$6,1,0)</f>
        <v>0</v>
      </c>
      <c r="H12" s="11" t="n">
        <f aca="false">IF(MOD($C12,2^$G$6)&gt;=2^$H$6,1,0)</f>
        <v>0</v>
      </c>
      <c r="I12" s="11" t="n">
        <f aca="false">IF(MOD($C12,2^$H$6)&gt;=2^$I$6,1,0)</f>
        <v>0</v>
      </c>
      <c r="J12" s="11" t="s">
        <v>5</v>
      </c>
      <c r="K12" s="11" t="n">
        <f aca="false">IF(MOD($C12,2^$I$6)&gt;=2^$K$6,1,0)</f>
        <v>0</v>
      </c>
      <c r="L12" s="11" t="n">
        <f aca="false">IF(MOD($C12,2^$K$6)&gt;=2^$L$6,1,0)</f>
        <v>0</v>
      </c>
      <c r="M12" s="11" t="n">
        <f aca="false">IF(MOD($C12,2^L$6)&gt;=2^M$6,1,0)</f>
        <v>0</v>
      </c>
      <c r="N12" s="11" t="n">
        <f aca="false">IF(MOD($C12,2^M$6)&gt;=2^N$6,1,0)</f>
        <v>0</v>
      </c>
      <c r="O12" s="11" t="s">
        <v>5</v>
      </c>
      <c r="P12" s="11" t="n">
        <f aca="false">IF(MOD($C12,2^N$6)&gt;=2^P$6,1,0)</f>
        <v>0</v>
      </c>
      <c r="Q12" s="11" t="n">
        <f aca="false">IF(MOD($C12,2^P$6)&gt;=2^Q$6,1,0)</f>
        <v>0</v>
      </c>
      <c r="R12" s="11" t="n">
        <f aca="false">IF(MOD($C12,2^Q$6)&gt;=2^R$6,1,0)</f>
        <v>0</v>
      </c>
      <c r="S12" s="11" t="n">
        <f aca="false">IF(MOD($C12,2^R$6)&gt;=2^S$6,1,0)</f>
        <v>0</v>
      </c>
      <c r="T12" s="11" t="s">
        <v>5</v>
      </c>
      <c r="U12" s="11" t="n">
        <f aca="false">IF(MOD($C12,2^S$6)&gt;=2^U$6,1,0)</f>
        <v>0</v>
      </c>
      <c r="V12" s="11" t="n">
        <f aca="false">IF(MOD($C12,2^U$6)&gt;=2^V$6,1,0)</f>
        <v>0</v>
      </c>
      <c r="W12" s="11" t="n">
        <f aca="false">IF(MOD($C12,2^V$6)&gt;=2^W$6,1,0)</f>
        <v>0</v>
      </c>
      <c r="X12" s="12" t="n">
        <f aca="false">IF(MOD($C12,2^W$6)&gt;=2^X$6,1,0)</f>
        <v>1</v>
      </c>
    </row>
    <row r="13" customFormat="false" ht="12.8" hidden="false" customHeight="false" outlineLevel="0" collapsed="false">
      <c r="A13" s="0" t="s">
        <v>22</v>
      </c>
      <c r="B13" s="0" t="s">
        <v>23</v>
      </c>
      <c r="C13" s="0" t="n">
        <f aca="false">-C7</f>
        <v>-1</v>
      </c>
      <c r="D13" s="0" t="s">
        <v>24</v>
      </c>
      <c r="E13" s="0" t="s">
        <v>25</v>
      </c>
      <c r="F13" s="10" t="n">
        <f aca="false">IF(C13&gt;=0, 0, 1)</f>
        <v>1</v>
      </c>
      <c r="G13" s="11" t="n">
        <f aca="false">IF(MOD($C13,2^$F$6)&gt;=2^$G$6,1,0)</f>
        <v>1</v>
      </c>
      <c r="H13" s="11" t="n">
        <f aca="false">IF(MOD($C13,2^$G$6)&gt;=2^$H$6,1,0)</f>
        <v>1</v>
      </c>
      <c r="I13" s="11" t="n">
        <f aca="false">IF(MOD($C13,2^$H$6)&gt;=2^$I$6,1,0)</f>
        <v>1</v>
      </c>
      <c r="J13" s="11" t="s">
        <v>5</v>
      </c>
      <c r="K13" s="11" t="n">
        <f aca="false">IF(MOD($C13,2^$I$6)&gt;=2^$K$6,1,0)</f>
        <v>1</v>
      </c>
      <c r="L13" s="11" t="n">
        <f aca="false">IF(MOD($C13,2^$K$6)&gt;=2^$L$6,1,0)</f>
        <v>1</v>
      </c>
      <c r="M13" s="11" t="n">
        <f aca="false">IF(MOD($C13,2^L$6)&gt;=2^M$6,1,0)</f>
        <v>1</v>
      </c>
      <c r="N13" s="11" t="n">
        <f aca="false">IF(MOD($C13,2^M$6)&gt;=2^N$6,1,0)</f>
        <v>1</v>
      </c>
      <c r="O13" s="11" t="s">
        <v>5</v>
      </c>
      <c r="P13" s="11" t="n">
        <f aca="false">IF(MOD($C13,2^N$6)&gt;=2^P$6,1,0)</f>
        <v>1</v>
      </c>
      <c r="Q13" s="11" t="n">
        <f aca="false">IF(MOD($C13,2^P$6)&gt;=2^Q$6,1,0)</f>
        <v>1</v>
      </c>
      <c r="R13" s="11" t="n">
        <f aca="false">IF(MOD($C13,2^Q$6)&gt;=2^R$6,1,0)</f>
        <v>1</v>
      </c>
      <c r="S13" s="11" t="n">
        <f aca="false">IF(MOD($C13,2^R$6)&gt;=2^S$6,1,0)</f>
        <v>1</v>
      </c>
      <c r="T13" s="11" t="s">
        <v>5</v>
      </c>
      <c r="U13" s="11" t="n">
        <f aca="false">IF(MOD($C13,2^S$6)&gt;=2^U$6,1,0)</f>
        <v>1</v>
      </c>
      <c r="V13" s="11" t="n">
        <f aca="false">IF(MOD($C13,2^U$6)&gt;=2^V$6,1,0)</f>
        <v>1</v>
      </c>
      <c r="W13" s="11" t="n">
        <f aca="false">IF(MOD($C13,2^V$6)&gt;=2^W$6,1,0)</f>
        <v>1</v>
      </c>
      <c r="X13" s="12" t="n">
        <f aca="false">IF(MOD($C13,2^W$6)&gt;=2^X$6,1,0)</f>
        <v>1</v>
      </c>
    </row>
    <row r="14" customFormat="false" ht="12.8" hidden="false" customHeight="false" outlineLevel="0" collapsed="false">
      <c r="A14" s="0" t="s">
        <v>26</v>
      </c>
      <c r="B14" s="0" t="s">
        <v>27</v>
      </c>
      <c r="C14" s="0" t="n">
        <f aca="false">-C8</f>
        <v>1</v>
      </c>
      <c r="D14" s="0" t="s">
        <v>28</v>
      </c>
      <c r="E14" s="0" t="s">
        <v>29</v>
      </c>
      <c r="F14" s="10" t="n">
        <f aca="false">IF(C14&gt;=0, 0, 1)</f>
        <v>0</v>
      </c>
      <c r="G14" s="11" t="n">
        <f aca="false">IF(MOD($C14,2^$F$6)&gt;=2^$G$6,1,0)</f>
        <v>0</v>
      </c>
      <c r="H14" s="11" t="n">
        <f aca="false">IF(MOD($C14,2^$G$6)&gt;=2^$H$6,1,0)</f>
        <v>0</v>
      </c>
      <c r="I14" s="11" t="n">
        <f aca="false">IF(MOD($C14,2^$H$6)&gt;=2^$I$6,1,0)</f>
        <v>0</v>
      </c>
      <c r="J14" s="11" t="s">
        <v>5</v>
      </c>
      <c r="K14" s="11" t="n">
        <f aca="false">IF(MOD($C14,2^$I$6)&gt;=2^$K$6,1,0)</f>
        <v>0</v>
      </c>
      <c r="L14" s="11" t="n">
        <f aca="false">IF(MOD($C14,2^$K$6)&gt;=2^$L$6,1,0)</f>
        <v>0</v>
      </c>
      <c r="M14" s="11" t="n">
        <f aca="false">IF(MOD($C14,2^L$6)&gt;=2^M$6,1,0)</f>
        <v>0</v>
      </c>
      <c r="N14" s="11" t="n">
        <f aca="false">IF(MOD($C14,2^M$6)&gt;=2^N$6,1,0)</f>
        <v>0</v>
      </c>
      <c r="O14" s="11" t="s">
        <v>5</v>
      </c>
      <c r="P14" s="11" t="n">
        <f aca="false">IF(MOD($C14,2^N$6)&gt;=2^P$6,1,0)</f>
        <v>0</v>
      </c>
      <c r="Q14" s="11" t="n">
        <f aca="false">IF(MOD($C14,2^P$6)&gt;=2^Q$6,1,0)</f>
        <v>0</v>
      </c>
      <c r="R14" s="11" t="n">
        <f aca="false">IF(MOD($C14,2^Q$6)&gt;=2^R$6,1,0)</f>
        <v>0</v>
      </c>
      <c r="S14" s="11" t="n">
        <f aca="false">IF(MOD($C14,2^R$6)&gt;=2^S$6,1,0)</f>
        <v>0</v>
      </c>
      <c r="T14" s="11" t="s">
        <v>5</v>
      </c>
      <c r="U14" s="11" t="n">
        <f aca="false">IF(MOD($C14,2^S$6)&gt;=2^U$6,1,0)</f>
        <v>0</v>
      </c>
      <c r="V14" s="11" t="n">
        <f aca="false">IF(MOD($C14,2^U$6)&gt;=2^V$6,1,0)</f>
        <v>0</v>
      </c>
      <c r="W14" s="11" t="n">
        <f aca="false">IF(MOD($C14,2^V$6)&gt;=2^W$6,1,0)</f>
        <v>0</v>
      </c>
      <c r="X14" s="12" t="n">
        <f aca="false">IF(MOD($C14,2^W$6)&gt;=2^X$6,1,0)</f>
        <v>1</v>
      </c>
    </row>
    <row r="15" customFormat="false" ht="12.8" hidden="false" customHeight="false" outlineLevel="0" collapsed="false">
      <c r="A15" s="0" t="s">
        <v>30</v>
      </c>
      <c r="B15" s="0" t="s">
        <v>31</v>
      </c>
      <c r="C15" s="0" t="n">
        <f aca="false">-C9</f>
        <v>-0</v>
      </c>
      <c r="D15" s="0" t="s">
        <v>32</v>
      </c>
      <c r="E15" s="0" t="s">
        <v>33</v>
      </c>
      <c r="F15" s="10" t="n">
        <f aca="false">IF(C15&gt;=0, 0, 1)</f>
        <v>0</v>
      </c>
      <c r="G15" s="11" t="n">
        <f aca="false">IF(MOD($C15,2^$F$6)&gt;=2^$G$6,1,0)</f>
        <v>0</v>
      </c>
      <c r="H15" s="11" t="n">
        <f aca="false">IF(MOD($C15,2^$G$6)&gt;=2^$H$6,1,0)</f>
        <v>0</v>
      </c>
      <c r="I15" s="11" t="n">
        <f aca="false">IF(MOD($C15,2^$H$6)&gt;=2^$I$6,1,0)</f>
        <v>0</v>
      </c>
      <c r="J15" s="11" t="s">
        <v>5</v>
      </c>
      <c r="K15" s="11" t="n">
        <f aca="false">IF(MOD($C15,2^$I$6)&gt;=2^$K$6,1,0)</f>
        <v>0</v>
      </c>
      <c r="L15" s="11" t="n">
        <f aca="false">IF(MOD($C15,2^$K$6)&gt;=2^$L$6,1,0)</f>
        <v>0</v>
      </c>
      <c r="M15" s="11" t="n">
        <f aca="false">IF(MOD($C15,2^L$6)&gt;=2^M$6,1,0)</f>
        <v>0</v>
      </c>
      <c r="N15" s="11" t="n">
        <f aca="false">IF(MOD($C15,2^M$6)&gt;=2^N$6,1,0)</f>
        <v>0</v>
      </c>
      <c r="O15" s="11" t="s">
        <v>5</v>
      </c>
      <c r="P15" s="11" t="n">
        <f aca="false">IF(MOD($C15,2^N$6)&gt;=2^P$6,1,0)</f>
        <v>0</v>
      </c>
      <c r="Q15" s="11" t="n">
        <f aca="false">IF(MOD($C15,2^P$6)&gt;=2^Q$6,1,0)</f>
        <v>0</v>
      </c>
      <c r="R15" s="11" t="n">
        <f aca="false">IF(MOD($C15,2^Q$6)&gt;=2^R$6,1,0)</f>
        <v>0</v>
      </c>
      <c r="S15" s="11" t="n">
        <f aca="false">IF(MOD($C15,2^R$6)&gt;=2^S$6,1,0)</f>
        <v>0</v>
      </c>
      <c r="T15" s="11" t="s">
        <v>5</v>
      </c>
      <c r="U15" s="11" t="n">
        <f aca="false">IF(MOD($C15,2^S$6)&gt;=2^U$6,1,0)</f>
        <v>0</v>
      </c>
      <c r="V15" s="11" t="n">
        <f aca="false">IF(MOD($C15,2^U$6)&gt;=2^V$6,1,0)</f>
        <v>0</v>
      </c>
      <c r="W15" s="11" t="n">
        <f aca="false">IF(MOD($C15,2^V$6)&gt;=2^W$6,1,0)</f>
        <v>0</v>
      </c>
      <c r="X15" s="12" t="n">
        <f aca="false">IF(MOD($C15,2^W$6)&gt;=2^X$6,1,0)</f>
        <v>0</v>
      </c>
    </row>
    <row r="16" customFormat="false" ht="12.8" hidden="false" customHeight="false" outlineLevel="0" collapsed="false">
      <c r="A16" s="0" t="s">
        <v>34</v>
      </c>
      <c r="B16" s="0" t="s">
        <v>35</v>
      </c>
      <c r="C16" s="0" t="n">
        <f aca="false">-C10</f>
        <v>1</v>
      </c>
      <c r="D16" s="0" t="s">
        <v>36</v>
      </c>
      <c r="E16" s="0" t="s">
        <v>37</v>
      </c>
      <c r="F16" s="10" t="n">
        <f aca="false">IF(C16&gt;=0, 0, 1)</f>
        <v>0</v>
      </c>
      <c r="G16" s="11" t="n">
        <f aca="false">IF(MOD($C16,2^$F$6)&gt;=2^$G$6,1,0)</f>
        <v>0</v>
      </c>
      <c r="H16" s="11" t="n">
        <f aca="false">IF(MOD($C16,2^$G$6)&gt;=2^$H$6,1,0)</f>
        <v>0</v>
      </c>
      <c r="I16" s="11" t="n">
        <f aca="false">IF(MOD($C16,2^$H$6)&gt;=2^$I$6,1,0)</f>
        <v>0</v>
      </c>
      <c r="J16" s="11" t="s">
        <v>5</v>
      </c>
      <c r="K16" s="11" t="n">
        <f aca="false">IF(MOD($C16,2^$I$6)&gt;=2^$K$6,1,0)</f>
        <v>0</v>
      </c>
      <c r="L16" s="11" t="n">
        <f aca="false">IF(MOD($C16,2^$K$6)&gt;=2^$L$6,1,0)</f>
        <v>0</v>
      </c>
      <c r="M16" s="11" t="n">
        <f aca="false">IF(MOD($C16,2^L$6)&gt;=2^M$6,1,0)</f>
        <v>0</v>
      </c>
      <c r="N16" s="11" t="n">
        <f aca="false">IF(MOD($C16,2^M$6)&gt;=2^N$6,1,0)</f>
        <v>0</v>
      </c>
      <c r="O16" s="11" t="s">
        <v>5</v>
      </c>
      <c r="P16" s="11" t="n">
        <f aca="false">IF(MOD($C16,2^N$6)&gt;=2^P$6,1,0)</f>
        <v>0</v>
      </c>
      <c r="Q16" s="11" t="n">
        <f aca="false">IF(MOD($C16,2^P$6)&gt;=2^Q$6,1,0)</f>
        <v>0</v>
      </c>
      <c r="R16" s="11" t="n">
        <f aca="false">IF(MOD($C16,2^Q$6)&gt;=2^R$6,1,0)</f>
        <v>0</v>
      </c>
      <c r="S16" s="11" t="n">
        <f aca="false">IF(MOD($C16,2^R$6)&gt;=2^S$6,1,0)</f>
        <v>0</v>
      </c>
      <c r="T16" s="11" t="s">
        <v>5</v>
      </c>
      <c r="U16" s="11" t="n">
        <f aca="false">IF(MOD($C16,2^S$6)&gt;=2^U$6,1,0)</f>
        <v>0</v>
      </c>
      <c r="V16" s="11" t="n">
        <f aca="false">IF(MOD($C16,2^U$6)&gt;=2^V$6,1,0)</f>
        <v>0</v>
      </c>
      <c r="W16" s="11" t="n">
        <f aca="false">IF(MOD($C16,2^V$6)&gt;=2^W$6,1,0)</f>
        <v>0</v>
      </c>
      <c r="X16" s="12" t="n">
        <f aca="false">IF(MOD($C16,2^W$6)&gt;=2^X$6,1,0)</f>
        <v>1</v>
      </c>
    </row>
    <row r="17" customFormat="false" ht="12.8" hidden="false" customHeight="false" outlineLevel="0" collapsed="false">
      <c r="A17" s="0" t="s">
        <v>38</v>
      </c>
      <c r="B17" s="0" t="s">
        <v>39</v>
      </c>
      <c r="C17" s="0" t="n">
        <f aca="false">-C11</f>
        <v>2</v>
      </c>
      <c r="D17" s="0" t="s">
        <v>40</v>
      </c>
      <c r="E17" s="0" t="s">
        <v>41</v>
      </c>
      <c r="F17" s="10" t="n">
        <f aca="false">IF(C17&gt;=0, 0, 1)</f>
        <v>0</v>
      </c>
      <c r="G17" s="11" t="n">
        <f aca="false">IF(MOD($C17,2^$F$6)&gt;=2^$G$6,1,0)</f>
        <v>0</v>
      </c>
      <c r="H17" s="11" t="n">
        <f aca="false">IF(MOD($C17,2^$G$6)&gt;=2^$H$6,1,0)</f>
        <v>0</v>
      </c>
      <c r="I17" s="11" t="n">
        <f aca="false">IF(MOD($C17,2^$H$6)&gt;=2^$I$6,1,0)</f>
        <v>0</v>
      </c>
      <c r="J17" s="11" t="s">
        <v>5</v>
      </c>
      <c r="K17" s="11" t="n">
        <f aca="false">IF(MOD($C17,2^$I$6)&gt;=2^$K$6,1,0)</f>
        <v>0</v>
      </c>
      <c r="L17" s="11" t="n">
        <f aca="false">IF(MOD($C17,2^$K$6)&gt;=2^$L$6,1,0)</f>
        <v>0</v>
      </c>
      <c r="M17" s="11" t="n">
        <f aca="false">IF(MOD($C17,2^L$6)&gt;=2^M$6,1,0)</f>
        <v>0</v>
      </c>
      <c r="N17" s="11" t="n">
        <f aca="false">IF(MOD($C17,2^M$6)&gt;=2^N$6,1,0)</f>
        <v>0</v>
      </c>
      <c r="O17" s="11" t="s">
        <v>5</v>
      </c>
      <c r="P17" s="11" t="n">
        <f aca="false">IF(MOD($C17,2^N$6)&gt;=2^P$6,1,0)</f>
        <v>0</v>
      </c>
      <c r="Q17" s="11" t="n">
        <f aca="false">IF(MOD($C17,2^P$6)&gt;=2^Q$6,1,0)</f>
        <v>0</v>
      </c>
      <c r="R17" s="11" t="n">
        <f aca="false">IF(MOD($C17,2^Q$6)&gt;=2^R$6,1,0)</f>
        <v>0</v>
      </c>
      <c r="S17" s="11" t="n">
        <f aca="false">IF(MOD($C17,2^R$6)&gt;=2^S$6,1,0)</f>
        <v>0</v>
      </c>
      <c r="T17" s="11" t="s">
        <v>5</v>
      </c>
      <c r="U17" s="11" t="n">
        <f aca="false">IF(MOD($C17,2^S$6)&gt;=2^U$6,1,0)</f>
        <v>0</v>
      </c>
      <c r="V17" s="11" t="n">
        <f aca="false">IF(MOD($C17,2^U$6)&gt;=2^V$6,1,0)</f>
        <v>0</v>
      </c>
      <c r="W17" s="11" t="n">
        <f aca="false">IF(MOD($C17,2^V$6)&gt;=2^W$6,1,0)</f>
        <v>1</v>
      </c>
      <c r="X17" s="12" t="n">
        <f aca="false">IF(MOD($C17,2^W$6)&gt;=2^X$6,1,0)</f>
        <v>0</v>
      </c>
    </row>
    <row r="18" customFormat="false" ht="12.8" hidden="false" customHeight="false" outlineLevel="0" collapsed="false">
      <c r="A18" s="0" t="s">
        <v>42</v>
      </c>
      <c r="B18" s="0" t="s">
        <v>43</v>
      </c>
      <c r="C18" s="0" t="n">
        <f aca="false">-C12</f>
        <v>-65537</v>
      </c>
      <c r="D18" s="0" t="s">
        <v>44</v>
      </c>
      <c r="E18" s="0" t="s">
        <v>45</v>
      </c>
      <c r="F18" s="13" t="n">
        <f aca="false">IF(C18&gt;=0, 0, 1)</f>
        <v>1</v>
      </c>
      <c r="G18" s="14" t="n">
        <f aca="false">IF(MOD($C18,2^$F$6)&gt;=2^$G$6,1,0)</f>
        <v>1</v>
      </c>
      <c r="H18" s="14" t="n">
        <f aca="false">IF(MOD($C18,2^$G$6)&gt;=2^$H$6,1,0)</f>
        <v>1</v>
      </c>
      <c r="I18" s="14" t="n">
        <f aca="false">IF(MOD($C18,2^$H$6)&gt;=2^$I$6,1,0)</f>
        <v>1</v>
      </c>
      <c r="J18" s="14" t="s">
        <v>5</v>
      </c>
      <c r="K18" s="14" t="n">
        <f aca="false">IF(MOD($C18,2^$I$6)&gt;=2^$K$6,1,0)</f>
        <v>1</v>
      </c>
      <c r="L18" s="14" t="n">
        <f aca="false">IF(MOD($C18,2^$K$6)&gt;=2^$L$6,1,0)</f>
        <v>1</v>
      </c>
      <c r="M18" s="14" t="n">
        <f aca="false">IF(MOD($C18,2^L$6)&gt;=2^M$6,1,0)</f>
        <v>1</v>
      </c>
      <c r="N18" s="14" t="n">
        <f aca="false">IF(MOD($C18,2^M$6)&gt;=2^N$6,1,0)</f>
        <v>1</v>
      </c>
      <c r="O18" s="14" t="s">
        <v>5</v>
      </c>
      <c r="P18" s="14" t="n">
        <f aca="false">IF(MOD($C18,2^N$6)&gt;=2^P$6,1,0)</f>
        <v>1</v>
      </c>
      <c r="Q18" s="14" t="n">
        <f aca="false">IF(MOD($C18,2^P$6)&gt;=2^Q$6,1,0)</f>
        <v>1</v>
      </c>
      <c r="R18" s="14" t="n">
        <f aca="false">IF(MOD($C18,2^Q$6)&gt;=2^R$6,1,0)</f>
        <v>1</v>
      </c>
      <c r="S18" s="14" t="n">
        <f aca="false">IF(MOD($C18,2^R$6)&gt;=2^S$6,1,0)</f>
        <v>1</v>
      </c>
      <c r="T18" s="14" t="s">
        <v>5</v>
      </c>
      <c r="U18" s="14" t="n">
        <f aca="false">IF(MOD($C18,2^S$6)&gt;=2^U$6,1,0)</f>
        <v>1</v>
      </c>
      <c r="V18" s="14" t="n">
        <f aca="false">IF(MOD($C18,2^U$6)&gt;=2^V$6,1,0)</f>
        <v>1</v>
      </c>
      <c r="W18" s="14" t="n">
        <f aca="false">IF(MOD($C18,2^V$6)&gt;=2^W$6,1,0)</f>
        <v>1</v>
      </c>
      <c r="X18" s="15" t="n">
        <f aca="false">IF(MOD($C18,2^W$6)&gt;=2^X$6,1,0)</f>
        <v>1</v>
      </c>
    </row>
    <row r="20" customFormat="false" ht="15.9" hidden="false" customHeight="false" outlineLevel="0" collapsed="false">
      <c r="C20" s="16"/>
      <c r="D20" s="17" t="s">
        <v>46</v>
      </c>
      <c r="E20" s="18"/>
      <c r="F20" s="18" t="n">
        <f aca="false">F7</f>
        <v>0</v>
      </c>
      <c r="G20" s="18" t="n">
        <f aca="false">G7</f>
        <v>0</v>
      </c>
      <c r="H20" s="18" t="n">
        <f aca="false">H7</f>
        <v>0</v>
      </c>
      <c r="I20" s="18" t="n">
        <f aca="false">I7</f>
        <v>0</v>
      </c>
      <c r="J20" s="18" t="str">
        <f aca="false">J7</f>
        <v>'</v>
      </c>
      <c r="K20" s="18" t="n">
        <f aca="false">K7</f>
        <v>0</v>
      </c>
      <c r="L20" s="18" t="n">
        <f aca="false">L7</f>
        <v>0</v>
      </c>
      <c r="M20" s="18" t="n">
        <f aca="false">M7</f>
        <v>0</v>
      </c>
      <c r="N20" s="18" t="n">
        <f aca="false">N7</f>
        <v>0</v>
      </c>
      <c r="O20" s="18" t="str">
        <f aca="false">O7</f>
        <v>'</v>
      </c>
      <c r="P20" s="18" t="n">
        <f aca="false">P7</f>
        <v>0</v>
      </c>
      <c r="Q20" s="18" t="n">
        <f aca="false">Q7</f>
        <v>0</v>
      </c>
      <c r="R20" s="18" t="n">
        <f aca="false">R7</f>
        <v>0</v>
      </c>
      <c r="S20" s="18" t="n">
        <f aca="false">S7</f>
        <v>0</v>
      </c>
      <c r="T20" s="18" t="str">
        <f aca="false">T7</f>
        <v>'</v>
      </c>
      <c r="U20" s="18" t="n">
        <f aca="false">U7</f>
        <v>0</v>
      </c>
      <c r="V20" s="18" t="n">
        <f aca="false">V7</f>
        <v>0</v>
      </c>
      <c r="W20" s="18" t="n">
        <f aca="false">W7</f>
        <v>0</v>
      </c>
      <c r="X20" s="18" t="n">
        <f aca="false">X7</f>
        <v>1</v>
      </c>
      <c r="Y20" s="18"/>
      <c r="Z20" s="18"/>
      <c r="AA20" s="18"/>
      <c r="AB20" s="18"/>
      <c r="AC20" s="19"/>
      <c r="AD20" s="18"/>
      <c r="AE20" s="17" t="s">
        <v>47</v>
      </c>
      <c r="AF20" s="18"/>
      <c r="AG20" s="18" t="n">
        <f aca="false">C7</f>
        <v>1</v>
      </c>
      <c r="AH20" s="18"/>
      <c r="AI20" s="20" t="str">
        <f aca="false">CONCATENATE("При сложении ", IF(F20+F21=2, "двух отрицательных", ""), IF(F20+F21=0, "двух положительных", ""), IF(F20+F21=1, "положительного и отрицательного", ""), " слагаемых получено ", IF(F23=0, "положи", "отрица"), "тельное число. Результат операции ", IF(Z23=AG23, "верный и корректный,", "НЕ верный и НЕ корректный,"), IF(Z23=AG23, "", " НЕ"), " совпадает с суммой десятичных эквивалентов")</f>
        <v>При сложении положительного и отрицательного слагаемых получено положительное число. Результат операции верный и корректный, совпадает с суммой десятичных эквивалентов</v>
      </c>
    </row>
    <row r="21" customFormat="false" ht="15.9" hidden="false" customHeight="false" outlineLevel="0" collapsed="false">
      <c r="C21" s="21" t="s">
        <v>48</v>
      </c>
      <c r="D21" s="22" t="s">
        <v>49</v>
      </c>
      <c r="F21" s="0" t="n">
        <f aca="false">F8</f>
        <v>1</v>
      </c>
      <c r="G21" s="0" t="n">
        <f aca="false">G8</f>
        <v>1</v>
      </c>
      <c r="H21" s="0" t="n">
        <f aca="false">H8</f>
        <v>1</v>
      </c>
      <c r="I21" s="0" t="n">
        <f aca="false">I8</f>
        <v>1</v>
      </c>
      <c r="J21" s="0" t="str">
        <f aca="false">J8</f>
        <v>'</v>
      </c>
      <c r="K21" s="0" t="n">
        <f aca="false">K8</f>
        <v>1</v>
      </c>
      <c r="L21" s="0" t="n">
        <f aca="false">L8</f>
        <v>1</v>
      </c>
      <c r="M21" s="0" t="n">
        <f aca="false">M8</f>
        <v>1</v>
      </c>
      <c r="N21" s="0" t="n">
        <f aca="false">N8</f>
        <v>1</v>
      </c>
      <c r="O21" s="0" t="str">
        <f aca="false">O8</f>
        <v>'</v>
      </c>
      <c r="P21" s="0" t="n">
        <f aca="false">P8</f>
        <v>1</v>
      </c>
      <c r="Q21" s="0" t="n">
        <f aca="false">Q8</f>
        <v>1</v>
      </c>
      <c r="R21" s="0" t="n">
        <f aca="false">R8</f>
        <v>1</v>
      </c>
      <c r="S21" s="0" t="n">
        <f aca="false">S8</f>
        <v>1</v>
      </c>
      <c r="T21" s="0" t="str">
        <f aca="false">T8</f>
        <v>'</v>
      </c>
      <c r="U21" s="0" t="n">
        <f aca="false">U8</f>
        <v>1</v>
      </c>
      <c r="V21" s="0" t="n">
        <f aca="false">V8</f>
        <v>1</v>
      </c>
      <c r="W21" s="0" t="n">
        <f aca="false">W8</f>
        <v>1</v>
      </c>
      <c r="X21" s="0" t="n">
        <f aca="false">X8</f>
        <v>1</v>
      </c>
      <c r="AC21" s="23"/>
      <c r="AD21" s="24" t="s">
        <v>48</v>
      </c>
      <c r="AE21" s="22" t="s">
        <v>50</v>
      </c>
      <c r="AG21" s="0" t="n">
        <f aca="false">C8</f>
        <v>-1</v>
      </c>
      <c r="AI21" s="20"/>
    </row>
    <row r="22" customFormat="false" ht="13.8" hidden="false" customHeight="false" outlineLevel="0" collapsed="false"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18"/>
      <c r="Z22" s="27" t="n">
        <f aca="false">G23*2^14+H23*2^13+I23*2^12+K23*2^11+L23*2^10+M23*2^9+N23*2^8+P23*2^7+Q23*2^6+R23*2^5+S23*2^4+U23*2^3+V23*2^2+W23*2+X23</f>
        <v>0</v>
      </c>
      <c r="AC22" s="23"/>
      <c r="AE22" s="26"/>
      <c r="AF22" s="26"/>
      <c r="AG22" s="26"/>
      <c r="AI22" s="20"/>
    </row>
    <row r="23" customFormat="false" ht="15.9" hidden="false" customHeight="false" outlineLevel="0" collapsed="false">
      <c r="C23" s="25"/>
      <c r="F23" s="0" t="n">
        <f aca="false">MOD(F20+F21+IF((G20+G21&lt;&gt;G23)*(G20+G21&lt;&gt;0), 1, 0), 2)</f>
        <v>0</v>
      </c>
      <c r="G23" s="0" t="n">
        <f aca="false">MOD(G20+G21+IF((H20+H21&lt;&gt;H23)*(H20+H21&lt;&gt;0), 1, 0), 2)</f>
        <v>0</v>
      </c>
      <c r="H23" s="0" t="n">
        <f aca="false">MOD(H20+H21+IF((I20+I21&lt;&gt;I23)*(I20+I21&lt;&gt;0), 1, 0), 2)</f>
        <v>0</v>
      </c>
      <c r="I23" s="0" t="n">
        <f aca="false">MOD(I20+I21+IF((K20+K21&lt;&gt;K23)*(K20+K21&lt;&gt;0), 1, 0), 2)</f>
        <v>0</v>
      </c>
      <c r="J23" s="0" t="s">
        <v>51</v>
      </c>
      <c r="K23" s="0" t="n">
        <f aca="false">MOD(K20+K21+IF((L20+L21&lt;&gt;L23)*(L20+L21&lt;&gt;0), 1, 0), 2)</f>
        <v>0</v>
      </c>
      <c r="L23" s="0" t="n">
        <f aca="false">MOD(L20+L21+IF((M20+M21&lt;&gt;M23)*(M20+M21&lt;&gt;0), 1, 0), 2)</f>
        <v>0</v>
      </c>
      <c r="M23" s="0" t="n">
        <f aca="false">MOD(M20+M21+IF((N20+N21&lt;&gt;N23)*(N20+N21&lt;&gt;0), 1, 0), 2)</f>
        <v>0</v>
      </c>
      <c r="N23" s="0" t="n">
        <f aca="false">MOD(N20+N21+IF((P20+P21&lt;&gt;P23)*(P20+P21&lt;&gt;0), 1, 0), 2)</f>
        <v>0</v>
      </c>
      <c r="O23" s="0" t="s">
        <v>51</v>
      </c>
      <c r="P23" s="0" t="n">
        <f aca="false">MOD(P20+P21+IF((Q20+Q21&lt;&gt;Q23)*(Q20+Q21&lt;&gt;0), 1, 0), 2)</f>
        <v>0</v>
      </c>
      <c r="Q23" s="0" t="n">
        <f aca="false">MOD(Q20+Q21+IF((R20+R21&lt;&gt;R23)*(R20+R21&lt;&gt;0), 1, 0), 2)</f>
        <v>0</v>
      </c>
      <c r="R23" s="0" t="n">
        <f aca="false">MOD(R20+R21+IF((S20+S21&lt;&gt;S23)*(S20+S21&lt;&gt;0), 1, 0), 2)</f>
        <v>0</v>
      </c>
      <c r="S23" s="0" t="n">
        <f aca="false">MOD(S20+S21+IF((U20+U21&lt;&gt;U23)*(U20+U21&lt;&gt;0), 1, 0), 2)</f>
        <v>0</v>
      </c>
      <c r="T23" s="0" t="s">
        <v>51</v>
      </c>
      <c r="U23" s="0" t="n">
        <f aca="false">MOD(U20+U21+IF((V20+V21&lt;&gt;V23)*(V20+V21&lt;&gt;0), 1, 0), 2)</f>
        <v>0</v>
      </c>
      <c r="V23" s="0" t="n">
        <f aca="false">MOD(V20+V21+IF((W20+W21&lt;&gt;W23)*(W20+W21&lt;&gt;0), 1, 0), 2)</f>
        <v>0</v>
      </c>
      <c r="W23" s="0" t="n">
        <f aca="false">MOD(W20+W21+IF((X20+X21&lt;&gt;X23)*(X20+X21&lt;&gt;0), 1, 0), 2)</f>
        <v>0</v>
      </c>
      <c r="X23" s="0" t="n">
        <f aca="false">MOD(X20+X21, 2)</f>
        <v>0</v>
      </c>
      <c r="Y23" s="28" t="s">
        <v>52</v>
      </c>
      <c r="Z23" s="0" t="n">
        <f aca="false">IF(F23=0, Z22, Z22-2^15)</f>
        <v>0</v>
      </c>
      <c r="AA23" s="28" t="s">
        <v>53</v>
      </c>
      <c r="AB23" s="22"/>
      <c r="AC23" s="23"/>
      <c r="AG23" s="0" t="n">
        <f aca="false">AG20+AG21</f>
        <v>0</v>
      </c>
      <c r="AH23" s="28" t="s">
        <v>53</v>
      </c>
      <c r="AI23" s="20"/>
    </row>
    <row r="24" customFormat="false" ht="13.8" hidden="false" customHeight="false" outlineLevel="0" collapsed="false">
      <c r="C24" s="25"/>
      <c r="AC24" s="23"/>
      <c r="AI24" s="20"/>
    </row>
    <row r="25" customFormat="false" ht="13.8" hidden="false" customHeight="false" outlineLevel="0" collapsed="false">
      <c r="C25" s="29"/>
      <c r="D25" s="30"/>
      <c r="E25" s="30"/>
      <c r="F25" s="31" t="s">
        <v>54</v>
      </c>
      <c r="G25" s="31"/>
      <c r="H25" s="31"/>
      <c r="I25" s="30" t="n">
        <f aca="false">1*(1*(MOD(F20+F21, 2)&lt;&gt;F23)+F20+F21&gt;1)</f>
        <v>1</v>
      </c>
      <c r="J25" s="30"/>
      <c r="K25" s="31" t="s">
        <v>55</v>
      </c>
      <c r="L25" s="31"/>
      <c r="M25" s="31"/>
      <c r="N25" s="30" t="n">
        <f aca="false">MOD(SUM(P23:X23)+1, 2)</f>
        <v>1</v>
      </c>
      <c r="O25" s="30"/>
      <c r="P25" s="31" t="s">
        <v>56</v>
      </c>
      <c r="Q25" s="31"/>
      <c r="R25" s="31"/>
      <c r="S25" s="30" t="n">
        <f aca="false">1*(MOD(S20+S21, 2)&lt;&gt;S23)</f>
        <v>1</v>
      </c>
      <c r="T25" s="30"/>
      <c r="U25" s="31" t="s">
        <v>57</v>
      </c>
      <c r="V25" s="31"/>
      <c r="W25" s="31"/>
      <c r="X25" s="30" t="n">
        <f aca="false">1*(SUM(G23:X23)=0)</f>
        <v>1</v>
      </c>
      <c r="Y25" s="30"/>
      <c r="Z25" s="31" t="s">
        <v>58</v>
      </c>
      <c r="AA25" s="30" t="n">
        <f aca="false">F23</f>
        <v>0</v>
      </c>
      <c r="AB25" s="30"/>
      <c r="AC25" s="32" t="s">
        <v>59</v>
      </c>
      <c r="AD25" s="30" t="n">
        <f aca="false">IF((F20=F21)*(F21&lt;&gt;F23), 1, 0)</f>
        <v>0</v>
      </c>
      <c r="AE25" s="30"/>
      <c r="AF25" s="30"/>
      <c r="AG25" s="30"/>
      <c r="AH25" s="30"/>
      <c r="AI25" s="20"/>
    </row>
    <row r="26" customFormat="false" ht="13.8" hidden="false" customHeight="false" outlineLevel="0" collapsed="false">
      <c r="C26" s="33"/>
      <c r="D26" s="33"/>
      <c r="AC26" s="23"/>
      <c r="AI26" s="34"/>
    </row>
    <row r="27" customFormat="false" ht="15.9" hidden="false" customHeight="false" outlineLevel="0" collapsed="false">
      <c r="C27" s="16"/>
      <c r="D27" s="17" t="s">
        <v>49</v>
      </c>
      <c r="E27" s="18"/>
      <c r="F27" s="18" t="n">
        <f aca="false">F8</f>
        <v>1</v>
      </c>
      <c r="G27" s="18" t="n">
        <f aca="false">G8</f>
        <v>1</v>
      </c>
      <c r="H27" s="18" t="n">
        <f aca="false">H8</f>
        <v>1</v>
      </c>
      <c r="I27" s="18" t="n">
        <f aca="false">I8</f>
        <v>1</v>
      </c>
      <c r="J27" s="18" t="str">
        <f aca="false">J8</f>
        <v>'</v>
      </c>
      <c r="K27" s="18" t="n">
        <f aca="false">K8</f>
        <v>1</v>
      </c>
      <c r="L27" s="18" t="n">
        <f aca="false">L8</f>
        <v>1</v>
      </c>
      <c r="M27" s="18" t="n">
        <f aca="false">M8</f>
        <v>1</v>
      </c>
      <c r="N27" s="18" t="n">
        <f aca="false">N8</f>
        <v>1</v>
      </c>
      <c r="O27" s="18" t="str">
        <f aca="false">O8</f>
        <v>'</v>
      </c>
      <c r="P27" s="18" t="n">
        <f aca="false">P8</f>
        <v>1</v>
      </c>
      <c r="Q27" s="18" t="n">
        <f aca="false">Q8</f>
        <v>1</v>
      </c>
      <c r="R27" s="18" t="n">
        <f aca="false">R8</f>
        <v>1</v>
      </c>
      <c r="S27" s="18" t="n">
        <f aca="false">S8</f>
        <v>1</v>
      </c>
      <c r="T27" s="18" t="str">
        <f aca="false">T8</f>
        <v>'</v>
      </c>
      <c r="U27" s="18" t="n">
        <f aca="false">U8</f>
        <v>1</v>
      </c>
      <c r="V27" s="18" t="n">
        <f aca="false">V8</f>
        <v>1</v>
      </c>
      <c r="W27" s="18" t="n">
        <f aca="false">W8</f>
        <v>1</v>
      </c>
      <c r="X27" s="18" t="n">
        <f aca="false">X8</f>
        <v>1</v>
      </c>
      <c r="Y27" s="18"/>
      <c r="Z27" s="18"/>
      <c r="AA27" s="18"/>
      <c r="AB27" s="18"/>
      <c r="AC27" s="19"/>
      <c r="AD27" s="18"/>
      <c r="AE27" s="17" t="s">
        <v>50</v>
      </c>
      <c r="AF27" s="18"/>
      <c r="AG27" s="18" t="n">
        <f aca="false">C8</f>
        <v>-1</v>
      </c>
      <c r="AH27" s="18"/>
      <c r="AI27" s="20" t="str">
        <f aca="false">CONCATENATE("При сложении ", IF(F27+F28=2, "двух отрицательных", ""), IF(F27+F28=0, "двух положительных", ""), IF(F27+F28=1, "положительного и отрицательного", ""), " слагаемых получено ", IF(F30=0, "положи", "отрица"), "тельное число. Результат операции ", IF(Z30=AG30, "верный и корректный,", "НЕ верный и НЕ корректный,"), IF(Z30=AG30, "", " НЕ"), " совпадает с суммой десятичных эквивалентов")</f>
        <v>При сложении положительного и отрицательного слагаемых получено отрицательное число. Результат операции верный и корректный, совпадает с суммой десятичных эквивалентов</v>
      </c>
    </row>
    <row r="28" customFormat="false" ht="15.9" hidden="false" customHeight="false" outlineLevel="0" collapsed="false">
      <c r="C28" s="21" t="s">
        <v>48</v>
      </c>
      <c r="D28" s="22" t="s">
        <v>60</v>
      </c>
      <c r="F28" s="0" t="n">
        <f aca="false">F9</f>
        <v>0</v>
      </c>
      <c r="G28" s="0" t="n">
        <f aca="false">G9</f>
        <v>0</v>
      </c>
      <c r="H28" s="0" t="n">
        <f aca="false">H9</f>
        <v>0</v>
      </c>
      <c r="I28" s="0" t="n">
        <f aca="false">I9</f>
        <v>0</v>
      </c>
      <c r="J28" s="0" t="str">
        <f aca="false">J9</f>
        <v>'</v>
      </c>
      <c r="K28" s="0" t="n">
        <f aca="false">K9</f>
        <v>0</v>
      </c>
      <c r="L28" s="0" t="n">
        <f aca="false">L9</f>
        <v>0</v>
      </c>
      <c r="M28" s="0" t="n">
        <f aca="false">M9</f>
        <v>0</v>
      </c>
      <c r="N28" s="0" t="n">
        <f aca="false">N9</f>
        <v>0</v>
      </c>
      <c r="O28" s="0" t="str">
        <f aca="false">O9</f>
        <v>'</v>
      </c>
      <c r="P28" s="0" t="n">
        <f aca="false">P9</f>
        <v>0</v>
      </c>
      <c r="Q28" s="0" t="n">
        <f aca="false">Q9</f>
        <v>0</v>
      </c>
      <c r="R28" s="0" t="n">
        <f aca="false">R9</f>
        <v>0</v>
      </c>
      <c r="S28" s="0" t="n">
        <f aca="false">S9</f>
        <v>0</v>
      </c>
      <c r="T28" s="0" t="str">
        <f aca="false">T9</f>
        <v>'</v>
      </c>
      <c r="U28" s="0" t="n">
        <f aca="false">U9</f>
        <v>0</v>
      </c>
      <c r="V28" s="0" t="n">
        <f aca="false">V9</f>
        <v>0</v>
      </c>
      <c r="W28" s="0" t="n">
        <f aca="false">W9</f>
        <v>0</v>
      </c>
      <c r="X28" s="0" t="n">
        <f aca="false">X9</f>
        <v>0</v>
      </c>
      <c r="AC28" s="23"/>
      <c r="AD28" s="24" t="s">
        <v>48</v>
      </c>
      <c r="AE28" s="22" t="s">
        <v>61</v>
      </c>
      <c r="AG28" s="0" t="n">
        <f aca="false">C9</f>
        <v>0</v>
      </c>
      <c r="AI28" s="20"/>
    </row>
    <row r="29" customFormat="false" ht="13.8" hidden="false" customHeight="false" outlineLevel="0" collapsed="false"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35"/>
      <c r="Z29" s="27" t="n">
        <f aca="false">G30*2^14+H30*2^13+I30*2^12+K30*2^11+L30*2^10+M30*2^9+N30*2^8+P30*2^7+Q30*2^6+R30*2^5+S30*2^4+U30*2^3+V30*2^2+W30*2+X30</f>
        <v>32767</v>
      </c>
      <c r="AC29" s="23"/>
      <c r="AE29" s="18"/>
      <c r="AF29" s="18"/>
      <c r="AG29" s="36"/>
      <c r="AI29" s="20"/>
    </row>
    <row r="30" customFormat="false" ht="15.9" hidden="false" customHeight="false" outlineLevel="0" collapsed="false">
      <c r="C30" s="25"/>
      <c r="F30" s="0" t="n">
        <f aca="false">MOD(F27+F28+IF((G27+G28&lt;&gt;G30)*(G27+G28&lt;&gt;0), 1, 0), 2)</f>
        <v>1</v>
      </c>
      <c r="G30" s="0" t="n">
        <f aca="false">MOD(G27+G28+IF((H27+H28&lt;&gt;H30)*(H27+H28&lt;&gt;0), 1, 0), 2)</f>
        <v>1</v>
      </c>
      <c r="H30" s="0" t="n">
        <f aca="false">MOD(H27+H28+IF((I27+I28&lt;&gt;I30)*(I27+I28&lt;&gt;0), 1, 0), 2)</f>
        <v>1</v>
      </c>
      <c r="I30" s="0" t="n">
        <f aca="false">MOD(I27+I28+IF((K27+K28&lt;&gt;K30)*(K27+K28&lt;&gt;0), 1, 0), 2)</f>
        <v>1</v>
      </c>
      <c r="J30" s="0" t="s">
        <v>51</v>
      </c>
      <c r="K30" s="0" t="n">
        <f aca="false">MOD(K27+K28+IF((L27+L28&lt;&gt;L30)*(L27+L28&lt;&gt;0), 1, 0), 2)</f>
        <v>1</v>
      </c>
      <c r="L30" s="0" t="n">
        <f aca="false">MOD(L27+L28+IF((M27+M28&lt;&gt;M30)*(M27+M28&lt;&gt;0), 1, 0), 2)</f>
        <v>1</v>
      </c>
      <c r="M30" s="0" t="n">
        <f aca="false">MOD(M27+M28+IF((N27+N28&lt;&gt;N30)*(N27+N28&lt;&gt;0), 1, 0), 2)</f>
        <v>1</v>
      </c>
      <c r="N30" s="0" t="n">
        <f aca="false">MOD(N27+N28+IF((P27+P28&lt;&gt;P30)*(P27+P28&lt;&gt;0), 1, 0), 2)</f>
        <v>1</v>
      </c>
      <c r="O30" s="0" t="s">
        <v>51</v>
      </c>
      <c r="P30" s="0" t="n">
        <f aca="false">MOD(P27+P28+IF((Q27+Q28&lt;&gt;Q30)*(Q27+Q28&lt;&gt;0), 1, 0), 2)</f>
        <v>1</v>
      </c>
      <c r="Q30" s="0" t="n">
        <f aca="false">MOD(Q27+Q28+IF((R27+R28&lt;&gt;R30)*(R27+R28&lt;&gt;0), 1, 0), 2)</f>
        <v>1</v>
      </c>
      <c r="R30" s="0" t="n">
        <f aca="false">MOD(R27+R28+IF((S27+S28&lt;&gt;S30)*(S27+S28&lt;&gt;0), 1, 0), 2)</f>
        <v>1</v>
      </c>
      <c r="S30" s="0" t="n">
        <f aca="false">MOD(S27+S28+IF((U27+U28&lt;&gt;U30)*(U27+U28&lt;&gt;0), 1, 0), 2)</f>
        <v>1</v>
      </c>
      <c r="T30" s="0" t="s">
        <v>51</v>
      </c>
      <c r="U30" s="0" t="n">
        <f aca="false">MOD(U27+U28+IF((V27+V28&lt;&gt;V30)*(V27+V28&lt;&gt;0), 1, 0), 2)</f>
        <v>1</v>
      </c>
      <c r="V30" s="0" t="n">
        <f aca="false">MOD(V27+V28+IF((W27+W28&lt;&gt;W30)*(W27+W28&lt;&gt;0), 1, 0), 2)</f>
        <v>1</v>
      </c>
      <c r="W30" s="0" t="n">
        <f aca="false">MOD(W27+W28+IF((X27+X28&lt;&gt;X30)*(X27+X28&lt;&gt;0), 1, 0), 2)</f>
        <v>1</v>
      </c>
      <c r="X30" s="0" t="n">
        <f aca="false">MOD(X27+X28, 2)</f>
        <v>1</v>
      </c>
      <c r="Y30" s="28" t="s">
        <v>52</v>
      </c>
      <c r="Z30" s="0" t="n">
        <f aca="false">IF(F30=0, Z29, Z29-2^15)</f>
        <v>-1</v>
      </c>
      <c r="AA30" s="28" t="s">
        <v>53</v>
      </c>
      <c r="AB30" s="22"/>
      <c r="AC30" s="23"/>
      <c r="AG30" s="0" t="n">
        <f aca="false">AG27+AG28</f>
        <v>-1</v>
      </c>
      <c r="AH30" s="28" t="s">
        <v>53</v>
      </c>
      <c r="AI30" s="20"/>
    </row>
    <row r="31" customFormat="false" ht="13.8" hidden="false" customHeight="false" outlineLevel="0" collapsed="false">
      <c r="C31" s="25"/>
      <c r="AC31" s="23"/>
      <c r="AI31" s="20"/>
    </row>
    <row r="32" customFormat="false" ht="13.8" hidden="false" customHeight="false" outlineLevel="0" collapsed="false">
      <c r="C32" s="29"/>
      <c r="D32" s="30"/>
      <c r="E32" s="30"/>
      <c r="F32" s="31" t="s">
        <v>54</v>
      </c>
      <c r="G32" s="31"/>
      <c r="H32" s="31"/>
      <c r="I32" s="30" t="n">
        <f aca="false">1*(1*(MOD(F27+F28, 2)&lt;&gt;F30)+F27+F28&gt;1)</f>
        <v>0</v>
      </c>
      <c r="J32" s="30"/>
      <c r="K32" s="31" t="s">
        <v>55</v>
      </c>
      <c r="L32" s="31"/>
      <c r="M32" s="31"/>
      <c r="N32" s="30" t="n">
        <f aca="false">MOD(SUM(P30:X30)+1, 2)</f>
        <v>1</v>
      </c>
      <c r="O32" s="30"/>
      <c r="P32" s="31" t="s">
        <v>56</v>
      </c>
      <c r="Q32" s="31"/>
      <c r="R32" s="31"/>
      <c r="S32" s="30" t="n">
        <f aca="false">1*(MOD(S27+S28, 2)&lt;&gt;S30)</f>
        <v>0</v>
      </c>
      <c r="T32" s="30"/>
      <c r="U32" s="31" t="s">
        <v>57</v>
      </c>
      <c r="V32" s="31"/>
      <c r="W32" s="31"/>
      <c r="X32" s="30" t="n">
        <f aca="false">1*(SUM(G30:X30)=0)</f>
        <v>0</v>
      </c>
      <c r="Y32" s="30"/>
      <c r="Z32" s="31" t="s">
        <v>58</v>
      </c>
      <c r="AA32" s="30" t="n">
        <f aca="false">F30</f>
        <v>1</v>
      </c>
      <c r="AB32" s="30"/>
      <c r="AC32" s="32" t="s">
        <v>59</v>
      </c>
      <c r="AD32" s="30" t="n">
        <f aca="false">IF((F27=F28)*(F28&lt;&gt;F30), 1, 0)</f>
        <v>0</v>
      </c>
      <c r="AE32" s="30"/>
      <c r="AF32" s="30"/>
      <c r="AG32" s="30"/>
      <c r="AH32" s="30"/>
      <c r="AI32" s="20"/>
    </row>
    <row r="33" customFormat="false" ht="13.8" hidden="false" customHeight="false" outlineLevel="0" collapsed="false">
      <c r="AC33" s="23"/>
      <c r="AI33" s="34"/>
    </row>
    <row r="34" customFormat="false" ht="15.9" hidden="false" customHeight="false" outlineLevel="0" collapsed="false">
      <c r="C34" s="16"/>
      <c r="D34" s="17" t="s">
        <v>49</v>
      </c>
      <c r="E34" s="18"/>
      <c r="F34" s="18" t="n">
        <f aca="false">F8</f>
        <v>1</v>
      </c>
      <c r="G34" s="18" t="n">
        <f aca="false">G8</f>
        <v>1</v>
      </c>
      <c r="H34" s="18" t="n">
        <f aca="false">H8</f>
        <v>1</v>
      </c>
      <c r="I34" s="18" t="n">
        <f aca="false">I8</f>
        <v>1</v>
      </c>
      <c r="J34" s="18" t="str">
        <f aca="false">J8</f>
        <v>'</v>
      </c>
      <c r="K34" s="18" t="n">
        <f aca="false">K8</f>
        <v>1</v>
      </c>
      <c r="L34" s="18" t="n">
        <f aca="false">L8</f>
        <v>1</v>
      </c>
      <c r="M34" s="18" t="n">
        <f aca="false">M8</f>
        <v>1</v>
      </c>
      <c r="N34" s="18" t="n">
        <f aca="false">N8</f>
        <v>1</v>
      </c>
      <c r="O34" s="18" t="str">
        <f aca="false">O8</f>
        <v>'</v>
      </c>
      <c r="P34" s="18" t="n">
        <f aca="false">P8</f>
        <v>1</v>
      </c>
      <c r="Q34" s="18" t="n">
        <f aca="false">Q8</f>
        <v>1</v>
      </c>
      <c r="R34" s="18" t="n">
        <f aca="false">R8</f>
        <v>1</v>
      </c>
      <c r="S34" s="18" t="n">
        <f aca="false">S8</f>
        <v>1</v>
      </c>
      <c r="T34" s="18" t="str">
        <f aca="false">T8</f>
        <v>'</v>
      </c>
      <c r="U34" s="18" t="n">
        <f aca="false">U8</f>
        <v>1</v>
      </c>
      <c r="V34" s="18" t="n">
        <f aca="false">V8</f>
        <v>1</v>
      </c>
      <c r="W34" s="18" t="n">
        <f aca="false">W8</f>
        <v>1</v>
      </c>
      <c r="X34" s="18" t="n">
        <f aca="false">X8</f>
        <v>1</v>
      </c>
      <c r="Y34" s="18"/>
      <c r="Z34" s="18"/>
      <c r="AA34" s="18"/>
      <c r="AB34" s="18"/>
      <c r="AC34" s="19"/>
      <c r="AD34" s="18"/>
      <c r="AE34" s="17" t="s">
        <v>50</v>
      </c>
      <c r="AF34" s="18"/>
      <c r="AG34" s="18" t="n">
        <f aca="false">C8</f>
        <v>-1</v>
      </c>
      <c r="AH34" s="18"/>
      <c r="AI34" s="20" t="str">
        <f aca="false">CONCATENATE("При сложении ", IF(F34+F35=2, "двух отрицательных", ""), IF(F34+F35=0, "двух положительных", ""), IF(F34+F35=1, "положительного и отрицательного", ""), " слагаемых получено ", IF(F37=0, "положи", "отрица"), "тельное число. Результат операции ", IF(Z37=AG37, "верный и корректный,", "НЕ верный и НЕ корректный,"), IF(Z37=AG37, "", " НЕ"), " совпадает с суммой десятичных эквивалентов")</f>
        <v>При сложении двух отрицательных слагаемых получено отрицательное число. Результат операции верный и корректный, совпадает с суммой десятичных эквивалентов</v>
      </c>
    </row>
    <row r="35" customFormat="false" ht="15.9" hidden="false" customHeight="false" outlineLevel="0" collapsed="false">
      <c r="C35" s="21" t="s">
        <v>48</v>
      </c>
      <c r="D35" s="22" t="s">
        <v>62</v>
      </c>
      <c r="F35" s="0" t="n">
        <f aca="false">F13</f>
        <v>1</v>
      </c>
      <c r="G35" s="0" t="n">
        <f aca="false">G13</f>
        <v>1</v>
      </c>
      <c r="H35" s="0" t="n">
        <f aca="false">H13</f>
        <v>1</v>
      </c>
      <c r="I35" s="0" t="n">
        <f aca="false">I13</f>
        <v>1</v>
      </c>
      <c r="J35" s="0" t="str">
        <f aca="false">J13</f>
        <v>'</v>
      </c>
      <c r="K35" s="0" t="n">
        <f aca="false">K13</f>
        <v>1</v>
      </c>
      <c r="L35" s="0" t="n">
        <f aca="false">L13</f>
        <v>1</v>
      </c>
      <c r="M35" s="0" t="n">
        <f aca="false">M13</f>
        <v>1</v>
      </c>
      <c r="N35" s="0" t="n">
        <f aca="false">N13</f>
        <v>1</v>
      </c>
      <c r="O35" s="0" t="str">
        <f aca="false">O13</f>
        <v>'</v>
      </c>
      <c r="P35" s="0" t="n">
        <f aca="false">P13</f>
        <v>1</v>
      </c>
      <c r="Q35" s="0" t="n">
        <f aca="false">Q13</f>
        <v>1</v>
      </c>
      <c r="R35" s="0" t="n">
        <f aca="false">R13</f>
        <v>1</v>
      </c>
      <c r="S35" s="0" t="n">
        <f aca="false">S13</f>
        <v>1</v>
      </c>
      <c r="T35" s="0" t="str">
        <f aca="false">T13</f>
        <v>'</v>
      </c>
      <c r="U35" s="0" t="n">
        <f aca="false">U13</f>
        <v>1</v>
      </c>
      <c r="V35" s="0" t="n">
        <f aca="false">V13</f>
        <v>1</v>
      </c>
      <c r="W35" s="0" t="n">
        <f aca="false">W13</f>
        <v>1</v>
      </c>
      <c r="X35" s="0" t="n">
        <f aca="false">X13</f>
        <v>1</v>
      </c>
      <c r="AC35" s="23"/>
      <c r="AD35" s="24" t="s">
        <v>48</v>
      </c>
      <c r="AE35" s="22" t="s">
        <v>63</v>
      </c>
      <c r="AG35" s="0" t="n">
        <f aca="false">C13</f>
        <v>-1</v>
      </c>
      <c r="AI35" s="20"/>
    </row>
    <row r="36" customFormat="false" ht="13.8" hidden="false" customHeight="false" outlineLevel="0" collapsed="false">
      <c r="C36" s="25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Z36" s="27" t="n">
        <f aca="false">G37*2^14+H37*2^13+I37*2^12+K37*2^11+L37*2^10+M37*2^9+N37*2^8+P37*2^7+Q37*2^6+R37*2^5+S37*2^4+U37*2^3+V37*2^2+W37*2+X37</f>
        <v>32766</v>
      </c>
      <c r="AC36" s="23"/>
      <c r="AE36" s="18"/>
      <c r="AF36" s="18"/>
      <c r="AG36" s="36"/>
      <c r="AI36" s="20"/>
    </row>
    <row r="37" customFormat="false" ht="15.9" hidden="false" customHeight="false" outlineLevel="0" collapsed="false">
      <c r="C37" s="25"/>
      <c r="F37" s="0" t="n">
        <f aca="false">MOD(F34+F35+IF((G34+G35&lt;&gt;G37)*(G34+G35&lt;&gt;0), 1, 0), 2)</f>
        <v>1</v>
      </c>
      <c r="G37" s="0" t="n">
        <f aca="false">MOD(G34+G35+IF((H34+H35&lt;&gt;H37)*(H34+H35&lt;&gt;0), 1, 0), 2)</f>
        <v>1</v>
      </c>
      <c r="H37" s="0" t="n">
        <f aca="false">MOD(H34+H35+IF((I34+I35&lt;&gt;I37)*(I34+I35&lt;&gt;0), 1, 0), 2)</f>
        <v>1</v>
      </c>
      <c r="I37" s="0" t="n">
        <f aca="false">MOD(I34+I35+IF((K34+K35&lt;&gt;K37)*(K34+K35&lt;&gt;0), 1, 0), 2)</f>
        <v>1</v>
      </c>
      <c r="J37" s="0" t="s">
        <v>51</v>
      </c>
      <c r="K37" s="0" t="n">
        <f aca="false">MOD(K34+K35+IF((L34+L35&lt;&gt;L37)*(L34+L35&lt;&gt;0), 1, 0), 2)</f>
        <v>1</v>
      </c>
      <c r="L37" s="0" t="n">
        <f aca="false">MOD(L34+L35+IF((M34+M35&lt;&gt;M37)*(M34+M35&lt;&gt;0), 1, 0), 2)</f>
        <v>1</v>
      </c>
      <c r="M37" s="0" t="n">
        <f aca="false">MOD(M34+M35+IF((N34+N35&lt;&gt;N37)*(N34+N35&lt;&gt;0), 1, 0), 2)</f>
        <v>1</v>
      </c>
      <c r="N37" s="0" t="n">
        <f aca="false">MOD(N34+N35+IF((P34+P35&lt;&gt;P37)*(P34+P35&lt;&gt;0), 1, 0), 2)</f>
        <v>1</v>
      </c>
      <c r="O37" s="0" t="s">
        <v>51</v>
      </c>
      <c r="P37" s="0" t="n">
        <f aca="false">MOD(P34+P35+IF((Q34+Q35&lt;&gt;Q37)*(Q34+Q35&lt;&gt;0), 1, 0), 2)</f>
        <v>1</v>
      </c>
      <c r="Q37" s="0" t="n">
        <f aca="false">MOD(Q34+Q35+IF((R34+R35&lt;&gt;R37)*(R34+R35&lt;&gt;0), 1, 0), 2)</f>
        <v>1</v>
      </c>
      <c r="R37" s="0" t="n">
        <f aca="false">MOD(R34+R35+IF((S34+S35&lt;&gt;S37)*(S34+S35&lt;&gt;0), 1, 0), 2)</f>
        <v>1</v>
      </c>
      <c r="S37" s="0" t="n">
        <f aca="false">MOD(S34+S35+IF((U34+U35&lt;&gt;U37)*(U34+U35&lt;&gt;0), 1, 0), 2)</f>
        <v>1</v>
      </c>
      <c r="T37" s="0" t="s">
        <v>51</v>
      </c>
      <c r="U37" s="0" t="n">
        <f aca="false">MOD(U34+U35+IF((V34+V35&lt;&gt;V37)*(V34+V35&lt;&gt;0), 1, 0), 2)</f>
        <v>1</v>
      </c>
      <c r="V37" s="0" t="n">
        <f aca="false">MOD(V34+V35+IF((W34+W35&lt;&gt;W37)*(W34+W35&lt;&gt;0), 1, 0), 2)</f>
        <v>1</v>
      </c>
      <c r="W37" s="0" t="n">
        <f aca="false">MOD(W34+W35+IF((X34+X35&lt;&gt;X37)*(X34+X35&lt;&gt;0), 1, 0), 2)</f>
        <v>1</v>
      </c>
      <c r="X37" s="0" t="n">
        <f aca="false">MOD(X34+X35, 2)</f>
        <v>0</v>
      </c>
      <c r="Y37" s="28" t="s">
        <v>52</v>
      </c>
      <c r="Z37" s="0" t="n">
        <f aca="false">IF(F37=0, Z36, Z36-2^15)</f>
        <v>-2</v>
      </c>
      <c r="AA37" s="28" t="s">
        <v>53</v>
      </c>
      <c r="AB37" s="22"/>
      <c r="AC37" s="23"/>
      <c r="AG37" s="0" t="n">
        <f aca="false">AG34+AG35</f>
        <v>-2</v>
      </c>
      <c r="AH37" s="28" t="s">
        <v>53</v>
      </c>
      <c r="AI37" s="20"/>
    </row>
    <row r="38" customFormat="false" ht="13.8" hidden="false" customHeight="false" outlineLevel="0" collapsed="false">
      <c r="C38" s="25"/>
      <c r="AC38" s="23"/>
      <c r="AI38" s="20"/>
    </row>
    <row r="39" customFormat="false" ht="13.8" hidden="false" customHeight="false" outlineLevel="0" collapsed="false">
      <c r="C39" s="29"/>
      <c r="D39" s="30"/>
      <c r="E39" s="30"/>
      <c r="F39" s="31" t="s">
        <v>54</v>
      </c>
      <c r="G39" s="31"/>
      <c r="H39" s="31"/>
      <c r="I39" s="30" t="n">
        <f aca="false">1*(1*(MOD(F34+F35, 2)&lt;&gt;F37)+F34+F35&gt;1)</f>
        <v>1</v>
      </c>
      <c r="J39" s="30"/>
      <c r="K39" s="31" t="s">
        <v>55</v>
      </c>
      <c r="L39" s="31"/>
      <c r="M39" s="31"/>
      <c r="N39" s="30" t="n">
        <f aca="false">MOD(SUM(P37:X37)+1, 2)</f>
        <v>0</v>
      </c>
      <c r="O39" s="30"/>
      <c r="P39" s="31" t="s">
        <v>56</v>
      </c>
      <c r="Q39" s="31"/>
      <c r="R39" s="31"/>
      <c r="S39" s="30" t="n">
        <f aca="false">1*(MOD(S34+S35, 2)&lt;&gt;S37)</f>
        <v>1</v>
      </c>
      <c r="T39" s="30"/>
      <c r="U39" s="31" t="s">
        <v>57</v>
      </c>
      <c r="V39" s="31"/>
      <c r="W39" s="31"/>
      <c r="X39" s="30" t="n">
        <f aca="false">1*(SUM(G37:X37)=0)</f>
        <v>0</v>
      </c>
      <c r="Y39" s="30"/>
      <c r="Z39" s="31" t="s">
        <v>58</v>
      </c>
      <c r="AA39" s="30" t="n">
        <f aca="false">F37</f>
        <v>1</v>
      </c>
      <c r="AB39" s="30"/>
      <c r="AC39" s="32" t="s">
        <v>59</v>
      </c>
      <c r="AD39" s="30" t="n">
        <f aca="false">IF((F34=F35)*(F35&lt;&gt;F37), 1, 0)</f>
        <v>0</v>
      </c>
      <c r="AE39" s="30"/>
      <c r="AF39" s="30"/>
      <c r="AG39" s="30"/>
      <c r="AH39" s="30"/>
      <c r="AI39" s="20"/>
    </row>
    <row r="40" customFormat="false" ht="13.8" hidden="false" customHeight="false" outlineLevel="0" collapsed="false">
      <c r="AC40" s="23"/>
      <c r="AI40" s="34"/>
    </row>
    <row r="41" customFormat="false" ht="15.9" hidden="false" customHeight="false" outlineLevel="0" collapsed="false">
      <c r="C41" s="16"/>
      <c r="D41" s="17" t="s">
        <v>62</v>
      </c>
      <c r="E41" s="18"/>
      <c r="F41" s="18" t="n">
        <f aca="false">F13</f>
        <v>1</v>
      </c>
      <c r="G41" s="18" t="n">
        <f aca="false">G13</f>
        <v>1</v>
      </c>
      <c r="H41" s="18" t="n">
        <f aca="false">H13</f>
        <v>1</v>
      </c>
      <c r="I41" s="18" t="n">
        <f aca="false">I13</f>
        <v>1</v>
      </c>
      <c r="J41" s="18" t="str">
        <f aca="false">J13</f>
        <v>'</v>
      </c>
      <c r="K41" s="18" t="n">
        <f aca="false">K13</f>
        <v>1</v>
      </c>
      <c r="L41" s="18" t="n">
        <f aca="false">L13</f>
        <v>1</v>
      </c>
      <c r="M41" s="18" t="n">
        <f aca="false">M13</f>
        <v>1</v>
      </c>
      <c r="N41" s="18" t="n">
        <f aca="false">N13</f>
        <v>1</v>
      </c>
      <c r="O41" s="18" t="str">
        <f aca="false">O13</f>
        <v>'</v>
      </c>
      <c r="P41" s="18" t="n">
        <f aca="false">P13</f>
        <v>1</v>
      </c>
      <c r="Q41" s="18" t="n">
        <f aca="false">Q13</f>
        <v>1</v>
      </c>
      <c r="R41" s="18" t="n">
        <f aca="false">R13</f>
        <v>1</v>
      </c>
      <c r="S41" s="18" t="n">
        <f aca="false">S13</f>
        <v>1</v>
      </c>
      <c r="T41" s="18" t="str">
        <f aca="false">T13</f>
        <v>'</v>
      </c>
      <c r="U41" s="18" t="n">
        <f aca="false">U13</f>
        <v>1</v>
      </c>
      <c r="V41" s="18" t="n">
        <f aca="false">V13</f>
        <v>1</v>
      </c>
      <c r="W41" s="18" t="n">
        <f aca="false">W13</f>
        <v>1</v>
      </c>
      <c r="X41" s="18" t="n">
        <f aca="false">X13</f>
        <v>1</v>
      </c>
      <c r="Y41" s="18"/>
      <c r="Z41" s="18"/>
      <c r="AA41" s="18"/>
      <c r="AB41" s="18"/>
      <c r="AC41" s="19"/>
      <c r="AD41" s="18"/>
      <c r="AE41" s="17" t="s">
        <v>63</v>
      </c>
      <c r="AF41" s="18"/>
      <c r="AG41" s="18" t="n">
        <f aca="false">C13</f>
        <v>-1</v>
      </c>
      <c r="AH41" s="18"/>
      <c r="AI41" s="20" t="str">
        <f aca="false">CONCATENATE("При сложении ", IF(F41+F42=2, "двух отрицательных", ""), IF(F41+F42=0, "двух положительных", ""), IF(F41+F42=1, "положительного и отрицательного", ""), " слагаемых получено ", IF(F44=0, "положи", "отрица"), "тельное число. Результат операции ", IF(Z44=AG44, "верный и корректный,", "НЕ верный и НЕ корректный,"), IF(Z44=AG44, "", " НЕ"), " совпадает с суммой десятичных эквивалентов")</f>
        <v>При сложении положительного и отрицательного слагаемых получено положительное число. Результат операции верный и корректный, совпадает с суммой десятичных эквивалентов</v>
      </c>
    </row>
    <row r="42" customFormat="false" ht="15.9" hidden="false" customHeight="false" outlineLevel="0" collapsed="false">
      <c r="C42" s="21" t="s">
        <v>48</v>
      </c>
      <c r="D42" s="22" t="s">
        <v>64</v>
      </c>
      <c r="F42" s="0" t="n">
        <f aca="false">F14</f>
        <v>0</v>
      </c>
      <c r="G42" s="0" t="n">
        <f aca="false">G14</f>
        <v>0</v>
      </c>
      <c r="H42" s="0" t="n">
        <f aca="false">H14</f>
        <v>0</v>
      </c>
      <c r="I42" s="0" t="n">
        <f aca="false">I14</f>
        <v>0</v>
      </c>
      <c r="J42" s="0" t="str">
        <f aca="false">J14</f>
        <v>'</v>
      </c>
      <c r="K42" s="0" t="n">
        <f aca="false">K14</f>
        <v>0</v>
      </c>
      <c r="L42" s="0" t="n">
        <f aca="false">L14</f>
        <v>0</v>
      </c>
      <c r="M42" s="0" t="n">
        <f aca="false">M14</f>
        <v>0</v>
      </c>
      <c r="N42" s="0" t="n">
        <f aca="false">N14</f>
        <v>0</v>
      </c>
      <c r="O42" s="0" t="str">
        <f aca="false">O14</f>
        <v>'</v>
      </c>
      <c r="P42" s="0" t="n">
        <f aca="false">P14</f>
        <v>0</v>
      </c>
      <c r="Q42" s="0" t="n">
        <f aca="false">Q14</f>
        <v>0</v>
      </c>
      <c r="R42" s="0" t="n">
        <f aca="false">R14</f>
        <v>0</v>
      </c>
      <c r="S42" s="0" t="n">
        <f aca="false">S14</f>
        <v>0</v>
      </c>
      <c r="T42" s="0" t="str">
        <f aca="false">T14</f>
        <v>'</v>
      </c>
      <c r="U42" s="0" t="n">
        <f aca="false">U14</f>
        <v>0</v>
      </c>
      <c r="V42" s="0" t="n">
        <f aca="false">V14</f>
        <v>0</v>
      </c>
      <c r="W42" s="0" t="n">
        <f aca="false">W14</f>
        <v>0</v>
      </c>
      <c r="X42" s="0" t="n">
        <f aca="false">X14</f>
        <v>1</v>
      </c>
      <c r="AC42" s="23"/>
      <c r="AD42" s="24" t="s">
        <v>48</v>
      </c>
      <c r="AE42" s="22" t="s">
        <v>65</v>
      </c>
      <c r="AG42" s="0" t="n">
        <f aca="false">C14</f>
        <v>1</v>
      </c>
      <c r="AI42" s="20"/>
    </row>
    <row r="43" customFormat="false" ht="13.8" hidden="false" customHeight="false" outlineLevel="0" collapsed="false">
      <c r="C43" s="25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Z43" s="27" t="n">
        <f aca="false">G44*2^14+H44*2^13+I44*2^12+K44*2^11+L44*2^10+M44*2^9+N44*2^8+P44*2^7+Q44*2^6+R44*2^5+S44*2^4+U44*2^3+V44*2^2+W44*2+X44</f>
        <v>0</v>
      </c>
      <c r="AC43" s="23"/>
      <c r="AE43" s="18"/>
      <c r="AF43" s="18"/>
      <c r="AG43" s="36"/>
      <c r="AI43" s="20"/>
    </row>
    <row r="44" customFormat="false" ht="15.9" hidden="false" customHeight="false" outlineLevel="0" collapsed="false">
      <c r="C44" s="25"/>
      <c r="F44" s="0" t="n">
        <f aca="false">MOD(F41+F42+IF((G41+G42&lt;&gt;G44)*(G41+G42&lt;&gt;0), 1, 0), 2)</f>
        <v>0</v>
      </c>
      <c r="G44" s="0" t="n">
        <f aca="false">MOD(G41+G42+IF((H41+H42&lt;&gt;H44)*(H41+H42&lt;&gt;0), 1, 0), 2)</f>
        <v>0</v>
      </c>
      <c r="H44" s="0" t="n">
        <f aca="false">MOD(H41+H42+IF((I41+I42&lt;&gt;I44)*(I41+I42&lt;&gt;0), 1, 0), 2)</f>
        <v>0</v>
      </c>
      <c r="I44" s="0" t="n">
        <f aca="false">MOD(I41+I42+IF((K41+K42&lt;&gt;K44)*(K41+K42&lt;&gt;0), 1, 0), 2)</f>
        <v>0</v>
      </c>
      <c r="J44" s="0" t="s">
        <v>51</v>
      </c>
      <c r="K44" s="0" t="n">
        <f aca="false">MOD(K41+K42+IF((L41+L42&lt;&gt;L44)*(L41+L42&lt;&gt;0), 1, 0), 2)</f>
        <v>0</v>
      </c>
      <c r="L44" s="0" t="n">
        <f aca="false">MOD(L41+L42+IF((M41+M42&lt;&gt;M44)*(M41+M42&lt;&gt;0), 1, 0), 2)</f>
        <v>0</v>
      </c>
      <c r="M44" s="0" t="n">
        <f aca="false">MOD(M41+M42+IF((N41+N42&lt;&gt;N44)*(N41+N42&lt;&gt;0), 1, 0), 2)</f>
        <v>0</v>
      </c>
      <c r="N44" s="0" t="n">
        <f aca="false">MOD(N41+N42+IF((P41+P42&lt;&gt;P44)*(P41+P42&lt;&gt;0), 1, 0), 2)</f>
        <v>0</v>
      </c>
      <c r="O44" s="0" t="s">
        <v>51</v>
      </c>
      <c r="P44" s="0" t="n">
        <f aca="false">MOD(P41+P42+IF((Q41+Q42&lt;&gt;Q44)*(Q41+Q42&lt;&gt;0), 1, 0), 2)</f>
        <v>0</v>
      </c>
      <c r="Q44" s="0" t="n">
        <f aca="false">MOD(Q41+Q42+IF((R41+R42&lt;&gt;R44)*(R41+R42&lt;&gt;0), 1, 0), 2)</f>
        <v>0</v>
      </c>
      <c r="R44" s="0" t="n">
        <f aca="false">MOD(R41+R42+IF((S41+S42&lt;&gt;S44)*(S41+S42&lt;&gt;0), 1, 0), 2)</f>
        <v>0</v>
      </c>
      <c r="S44" s="0" t="n">
        <f aca="false">MOD(S41+S42+IF((U41+U42&lt;&gt;U44)*(U41+U42&lt;&gt;0), 1, 0), 2)</f>
        <v>0</v>
      </c>
      <c r="T44" s="0" t="s">
        <v>51</v>
      </c>
      <c r="U44" s="0" t="n">
        <f aca="false">MOD(U41+U42+IF((V41+V42&lt;&gt;V44)*(V41+V42&lt;&gt;0), 1, 0), 2)</f>
        <v>0</v>
      </c>
      <c r="V44" s="0" t="n">
        <f aca="false">MOD(V41+V42+IF((W41+W42&lt;&gt;W44)*(W41+W42&lt;&gt;0), 1, 0), 2)</f>
        <v>0</v>
      </c>
      <c r="W44" s="0" t="n">
        <f aca="false">MOD(W41+W42+IF((X41+X42&lt;&gt;X44)*(X41+X42&lt;&gt;0), 1, 0), 2)</f>
        <v>0</v>
      </c>
      <c r="X44" s="0" t="n">
        <f aca="false">MOD(X41+X42, 2)</f>
        <v>0</v>
      </c>
      <c r="Y44" s="28" t="s">
        <v>52</v>
      </c>
      <c r="Z44" s="0" t="n">
        <f aca="false">IF(F44=0, Z43, Z43-2^15)</f>
        <v>0</v>
      </c>
      <c r="AA44" s="28" t="s">
        <v>53</v>
      </c>
      <c r="AB44" s="22"/>
      <c r="AC44" s="23"/>
      <c r="AG44" s="0" t="n">
        <f aca="false">AG41+AG42</f>
        <v>0</v>
      </c>
      <c r="AH44" s="28" t="s">
        <v>53</v>
      </c>
      <c r="AI44" s="20"/>
    </row>
    <row r="45" customFormat="false" ht="13.8" hidden="false" customHeight="false" outlineLevel="0" collapsed="false">
      <c r="C45" s="25"/>
      <c r="AC45" s="23"/>
      <c r="AI45" s="20"/>
    </row>
    <row r="46" customFormat="false" ht="13.8" hidden="false" customHeight="false" outlineLevel="0" collapsed="false">
      <c r="C46" s="29"/>
      <c r="D46" s="30"/>
      <c r="E46" s="30"/>
      <c r="F46" s="31" t="s">
        <v>54</v>
      </c>
      <c r="G46" s="31"/>
      <c r="H46" s="31"/>
      <c r="I46" s="30" t="n">
        <f aca="false">1*(1*(MOD(F41+F42, 2)&lt;&gt;F44)+F41+F42&gt;1)</f>
        <v>1</v>
      </c>
      <c r="J46" s="30"/>
      <c r="K46" s="31" t="s">
        <v>55</v>
      </c>
      <c r="L46" s="31"/>
      <c r="M46" s="31"/>
      <c r="N46" s="30" t="n">
        <f aca="false">MOD(SUM(P44:X44)+1, 2)</f>
        <v>1</v>
      </c>
      <c r="O46" s="30"/>
      <c r="P46" s="31" t="s">
        <v>56</v>
      </c>
      <c r="Q46" s="31"/>
      <c r="R46" s="31"/>
      <c r="S46" s="30"/>
      <c r="T46" s="30"/>
      <c r="U46" s="31" t="s">
        <v>57</v>
      </c>
      <c r="V46" s="31"/>
      <c r="W46" s="31"/>
      <c r="X46" s="30" t="n">
        <f aca="false">1*(SUM(G44:X44)=0)</f>
        <v>1</v>
      </c>
      <c r="Y46" s="30"/>
      <c r="Z46" s="31" t="s">
        <v>58</v>
      </c>
      <c r="AA46" s="30" t="n">
        <f aca="false">F44</f>
        <v>0</v>
      </c>
      <c r="AB46" s="30"/>
      <c r="AC46" s="32" t="s">
        <v>59</v>
      </c>
      <c r="AD46" s="30" t="n">
        <f aca="false">IF(G41*G42*I46, 0, 1)</f>
        <v>1</v>
      </c>
      <c r="AE46" s="30"/>
      <c r="AF46" s="30"/>
      <c r="AG46" s="30"/>
      <c r="AH46" s="30"/>
      <c r="AI46" s="20"/>
    </row>
    <row r="47" customFormat="false" ht="13.8" hidden="false" customHeight="false" outlineLevel="0" collapsed="false">
      <c r="AC47" s="23"/>
      <c r="AI47" s="34"/>
    </row>
    <row r="48" customFormat="false" ht="15.9" hidden="false" customHeight="false" outlineLevel="0" collapsed="false">
      <c r="C48" s="16"/>
      <c r="D48" s="17" t="s">
        <v>64</v>
      </c>
      <c r="E48" s="18"/>
      <c r="F48" s="18" t="n">
        <f aca="false">F14</f>
        <v>0</v>
      </c>
      <c r="G48" s="18" t="n">
        <f aca="false">G14</f>
        <v>0</v>
      </c>
      <c r="H48" s="18" t="n">
        <f aca="false">H14</f>
        <v>0</v>
      </c>
      <c r="I48" s="18" t="n">
        <f aca="false">I14</f>
        <v>0</v>
      </c>
      <c r="J48" s="18" t="str">
        <f aca="false">J14</f>
        <v>'</v>
      </c>
      <c r="K48" s="18" t="n">
        <f aca="false">K14</f>
        <v>0</v>
      </c>
      <c r="L48" s="18" t="n">
        <f aca="false">L14</f>
        <v>0</v>
      </c>
      <c r="M48" s="18" t="n">
        <f aca="false">M14</f>
        <v>0</v>
      </c>
      <c r="N48" s="18" t="n">
        <f aca="false">N14</f>
        <v>0</v>
      </c>
      <c r="O48" s="18" t="str">
        <f aca="false">O14</f>
        <v>'</v>
      </c>
      <c r="P48" s="18" t="n">
        <f aca="false">P14</f>
        <v>0</v>
      </c>
      <c r="Q48" s="18" t="n">
        <f aca="false">Q14</f>
        <v>0</v>
      </c>
      <c r="R48" s="18" t="n">
        <f aca="false">R14</f>
        <v>0</v>
      </c>
      <c r="S48" s="18" t="n">
        <f aca="false">S14</f>
        <v>0</v>
      </c>
      <c r="T48" s="18" t="str">
        <f aca="false">T14</f>
        <v>'</v>
      </c>
      <c r="U48" s="18" t="n">
        <f aca="false">U14</f>
        <v>0</v>
      </c>
      <c r="V48" s="18" t="n">
        <f aca="false">V14</f>
        <v>0</v>
      </c>
      <c r="W48" s="18" t="n">
        <f aca="false">W14</f>
        <v>0</v>
      </c>
      <c r="X48" s="18" t="n">
        <f aca="false">X14</f>
        <v>1</v>
      </c>
      <c r="Y48" s="18"/>
      <c r="Z48" s="18"/>
      <c r="AA48" s="18"/>
      <c r="AB48" s="18"/>
      <c r="AC48" s="19"/>
      <c r="AD48" s="18"/>
      <c r="AE48" s="17" t="s">
        <v>65</v>
      </c>
      <c r="AF48" s="18"/>
      <c r="AG48" s="18" t="n">
        <f aca="false">C14</f>
        <v>1</v>
      </c>
      <c r="AH48" s="18"/>
      <c r="AI48" s="20" t="str">
        <f aca="false">CONCATENATE("При сложении ", IF(F48+F49=2, "двух отрицательных", ""), IF(F48+F49=0, "двух положительных", ""), IF(F48+F49=1, "положительного и отрицательного", ""), " слагаемых получено ", IF(F51=0, "положи", "отрица"), "тельное число. Результат операции ", IF(Z51=AG51, "верный и корректный,", "НЕ верный и НЕ корректный,"), IF(Z51=AG51, "", " НЕ"), " совпадает с суммой десятичных эквивалентов")</f>
        <v>При сложении двух положительных слагаемых получено положительное число. Результат операции верный и корректный, совпадает с суммой десятичных эквивалентов</v>
      </c>
    </row>
    <row r="49" customFormat="false" ht="15.9" hidden="false" customHeight="false" outlineLevel="0" collapsed="false">
      <c r="C49" s="21" t="s">
        <v>48</v>
      </c>
      <c r="D49" s="22" t="s">
        <v>66</v>
      </c>
      <c r="F49" s="0" t="n">
        <f aca="false">F15</f>
        <v>0</v>
      </c>
      <c r="G49" s="0" t="n">
        <f aca="false">G15</f>
        <v>0</v>
      </c>
      <c r="H49" s="0" t="n">
        <f aca="false">H15</f>
        <v>0</v>
      </c>
      <c r="I49" s="0" t="n">
        <f aca="false">I15</f>
        <v>0</v>
      </c>
      <c r="J49" s="0" t="str">
        <f aca="false">J15</f>
        <v>'</v>
      </c>
      <c r="K49" s="0" t="n">
        <f aca="false">K15</f>
        <v>0</v>
      </c>
      <c r="L49" s="0" t="n">
        <f aca="false">L15</f>
        <v>0</v>
      </c>
      <c r="M49" s="0" t="n">
        <f aca="false">M15</f>
        <v>0</v>
      </c>
      <c r="N49" s="0" t="n">
        <f aca="false">N15</f>
        <v>0</v>
      </c>
      <c r="O49" s="0" t="str">
        <f aca="false">O15</f>
        <v>'</v>
      </c>
      <c r="P49" s="0" t="n">
        <f aca="false">P15</f>
        <v>0</v>
      </c>
      <c r="Q49" s="0" t="n">
        <f aca="false">Q15</f>
        <v>0</v>
      </c>
      <c r="R49" s="0" t="n">
        <f aca="false">R15</f>
        <v>0</v>
      </c>
      <c r="S49" s="0" t="n">
        <f aca="false">S15</f>
        <v>0</v>
      </c>
      <c r="T49" s="0" t="str">
        <f aca="false">T15</f>
        <v>'</v>
      </c>
      <c r="U49" s="0" t="n">
        <f aca="false">U15</f>
        <v>0</v>
      </c>
      <c r="V49" s="0" t="n">
        <f aca="false">V15</f>
        <v>0</v>
      </c>
      <c r="W49" s="0" t="n">
        <f aca="false">W15</f>
        <v>0</v>
      </c>
      <c r="X49" s="0" t="n">
        <f aca="false">X15</f>
        <v>0</v>
      </c>
      <c r="AC49" s="23"/>
      <c r="AD49" s="24" t="s">
        <v>48</v>
      </c>
      <c r="AE49" s="22" t="s">
        <v>67</v>
      </c>
      <c r="AG49" s="0" t="n">
        <f aca="false">C15</f>
        <v>-0</v>
      </c>
      <c r="AI49" s="20"/>
    </row>
    <row r="50" customFormat="false" ht="13.8" hidden="false" customHeight="false" outlineLevel="0" collapsed="false">
      <c r="C50" s="2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Z50" s="27" t="n">
        <f aca="false">G51*2^14+H51*2^13+I51*2^12+K51*2^11+L51*2^10+M51*2^9+N51*2^8+P51*2^7+Q51*2^6+R51*2^5+S51*2^4+U51*2^3+V51*2^2+W51*2+X51</f>
        <v>1</v>
      </c>
      <c r="AC50" s="23"/>
      <c r="AE50" s="18"/>
      <c r="AF50" s="18"/>
      <c r="AG50" s="36"/>
      <c r="AI50" s="20"/>
    </row>
    <row r="51" customFormat="false" ht="15.9" hidden="false" customHeight="false" outlineLevel="0" collapsed="false">
      <c r="C51" s="25"/>
      <c r="F51" s="0" t="n">
        <f aca="false">MOD(F48+F49+IF((G48+G49&lt;&gt;G51)*(G48+G49&lt;&gt;0), 1, 0), 2)</f>
        <v>0</v>
      </c>
      <c r="G51" s="0" t="n">
        <f aca="false">MOD(G48+G49+IF((H48+H49&lt;&gt;H51)*(H48+H49&lt;&gt;0), 1, 0), 2)</f>
        <v>0</v>
      </c>
      <c r="H51" s="0" t="n">
        <f aca="false">MOD(H48+H49+IF((I48+I49&lt;&gt;I51)*(I48+I49&lt;&gt;0), 1, 0), 2)</f>
        <v>0</v>
      </c>
      <c r="I51" s="0" t="n">
        <f aca="false">MOD(I48+I49+IF((K48+K49&lt;&gt;K51)*(K48+K49&lt;&gt;0), 1, 0), 2)</f>
        <v>0</v>
      </c>
      <c r="J51" s="0" t="s">
        <v>51</v>
      </c>
      <c r="K51" s="0" t="n">
        <f aca="false">MOD(K48+K49+IF((L48+L49&lt;&gt;L51)*(L48+L49&lt;&gt;0), 1, 0), 2)</f>
        <v>0</v>
      </c>
      <c r="L51" s="0" t="n">
        <f aca="false">MOD(L48+L49+IF((M48+M49&lt;&gt;M51)*(M48+M49&lt;&gt;0), 1, 0), 2)</f>
        <v>0</v>
      </c>
      <c r="M51" s="0" t="n">
        <f aca="false">MOD(M48+M49+IF((N48+N49&lt;&gt;N51)*(N48+N49&lt;&gt;0), 1, 0), 2)</f>
        <v>0</v>
      </c>
      <c r="N51" s="0" t="n">
        <f aca="false">MOD(N48+N49+IF((P48+P49&lt;&gt;P51)*(P48+P49&lt;&gt;0), 1, 0), 2)</f>
        <v>0</v>
      </c>
      <c r="O51" s="0" t="s">
        <v>51</v>
      </c>
      <c r="P51" s="0" t="n">
        <f aca="false">MOD(P48+P49+IF((Q48+Q49&lt;&gt;Q51)*(Q48+Q49&lt;&gt;0), 1, 0), 2)</f>
        <v>0</v>
      </c>
      <c r="Q51" s="0" t="n">
        <f aca="false">MOD(Q48+Q49+IF((R48+R49&lt;&gt;R51)*(R48+R49&lt;&gt;0), 1, 0), 2)</f>
        <v>0</v>
      </c>
      <c r="R51" s="0" t="n">
        <f aca="false">MOD(R48+R49+IF((S48+S49&lt;&gt;S51)*(S48+S49&lt;&gt;0), 1, 0), 2)</f>
        <v>0</v>
      </c>
      <c r="S51" s="0" t="n">
        <f aca="false">MOD(S48+S49+IF((U48+U49&lt;&gt;U51)*(U48+U49&lt;&gt;0), 1, 0), 2)</f>
        <v>0</v>
      </c>
      <c r="T51" s="0" t="s">
        <v>51</v>
      </c>
      <c r="U51" s="0" t="n">
        <f aca="false">MOD(U48+U49+IF((V48+V49&lt;&gt;V51)*(V48+V49&lt;&gt;0), 1, 0), 2)</f>
        <v>0</v>
      </c>
      <c r="V51" s="0" t="n">
        <f aca="false">MOD(V48+V49+IF((W48+W49&lt;&gt;W51)*(W48+W49&lt;&gt;0), 1, 0), 2)</f>
        <v>0</v>
      </c>
      <c r="W51" s="0" t="n">
        <f aca="false">MOD(W48+W49+IF((X48+X49&lt;&gt;X51)*(X48+X49&lt;&gt;0), 1, 0), 2)</f>
        <v>0</v>
      </c>
      <c r="X51" s="0" t="n">
        <f aca="false">MOD(X48+X49, 2)</f>
        <v>1</v>
      </c>
      <c r="Y51" s="28" t="s">
        <v>52</v>
      </c>
      <c r="Z51" s="0" t="n">
        <f aca="false">IF(F51=0, Z50, Z50-2^15)</f>
        <v>1</v>
      </c>
      <c r="AA51" s="28" t="s">
        <v>53</v>
      </c>
      <c r="AB51" s="22"/>
      <c r="AC51" s="23"/>
      <c r="AG51" s="0" t="n">
        <f aca="false">AG48+AG49</f>
        <v>1</v>
      </c>
      <c r="AH51" s="28" t="s">
        <v>53</v>
      </c>
      <c r="AI51" s="20"/>
    </row>
    <row r="52" customFormat="false" ht="13.8" hidden="false" customHeight="false" outlineLevel="0" collapsed="false">
      <c r="C52" s="25"/>
      <c r="AC52" s="23"/>
      <c r="AI52" s="20"/>
    </row>
    <row r="53" customFormat="false" ht="13.8" hidden="false" customHeight="false" outlineLevel="0" collapsed="false">
      <c r="C53" s="29"/>
      <c r="D53" s="30"/>
      <c r="E53" s="30"/>
      <c r="F53" s="31" t="s">
        <v>54</v>
      </c>
      <c r="G53" s="31"/>
      <c r="H53" s="31"/>
      <c r="I53" s="30" t="n">
        <f aca="false">1*(1*(MOD(F48+F49, 2)&lt;&gt;F51)+F48+F49&gt;1)</f>
        <v>0</v>
      </c>
      <c r="J53" s="30"/>
      <c r="K53" s="31" t="s">
        <v>55</v>
      </c>
      <c r="L53" s="31"/>
      <c r="M53" s="31"/>
      <c r="N53" s="30" t="n">
        <f aca="false">MOD(SUM(P51:X51)+1, 2)</f>
        <v>0</v>
      </c>
      <c r="O53" s="30"/>
      <c r="P53" s="31" t="s">
        <v>56</v>
      </c>
      <c r="Q53" s="31"/>
      <c r="R53" s="31"/>
      <c r="S53" s="30" t="n">
        <f aca="false">1*(MOD(S48+S49, 2)&lt;&gt;S51)</f>
        <v>0</v>
      </c>
      <c r="T53" s="30"/>
      <c r="U53" s="31" t="s">
        <v>57</v>
      </c>
      <c r="V53" s="31"/>
      <c r="W53" s="31"/>
      <c r="X53" s="30" t="n">
        <f aca="false">1*(SUM(G51:X51)=0)</f>
        <v>0</v>
      </c>
      <c r="Y53" s="30"/>
      <c r="Z53" s="31" t="s">
        <v>58</v>
      </c>
      <c r="AA53" s="30" t="n">
        <f aca="false">F51</f>
        <v>0</v>
      </c>
      <c r="AB53" s="30"/>
      <c r="AC53" s="32" t="s">
        <v>59</v>
      </c>
      <c r="AD53" s="30" t="n">
        <f aca="false">IF((F48=F49)*(F49&lt;&gt;F51), 1, 0)</f>
        <v>0</v>
      </c>
      <c r="AE53" s="30"/>
      <c r="AF53" s="30"/>
      <c r="AG53" s="30"/>
      <c r="AH53" s="30"/>
      <c r="AI53" s="20"/>
    </row>
    <row r="54" customFormat="false" ht="13.8" hidden="false" customHeight="false" outlineLevel="0" collapsed="false">
      <c r="AC54" s="23"/>
      <c r="AI54" s="34"/>
    </row>
    <row r="55" customFormat="false" ht="15.9" hidden="false" customHeight="false" outlineLevel="0" collapsed="false">
      <c r="C55" s="16"/>
      <c r="D55" s="17" t="s">
        <v>46</v>
      </c>
      <c r="E55" s="18"/>
      <c r="F55" s="18" t="n">
        <f aca="false">F7</f>
        <v>0</v>
      </c>
      <c r="G55" s="18" t="n">
        <f aca="false">G7</f>
        <v>0</v>
      </c>
      <c r="H55" s="18" t="n">
        <f aca="false">H7</f>
        <v>0</v>
      </c>
      <c r="I55" s="18" t="n">
        <f aca="false">I7</f>
        <v>0</v>
      </c>
      <c r="J55" s="18" t="str">
        <f aca="false">J7</f>
        <v>'</v>
      </c>
      <c r="K55" s="18" t="n">
        <f aca="false">K7</f>
        <v>0</v>
      </c>
      <c r="L55" s="18" t="n">
        <f aca="false">L7</f>
        <v>0</v>
      </c>
      <c r="M55" s="18" t="n">
        <f aca="false">M7</f>
        <v>0</v>
      </c>
      <c r="N55" s="18" t="n">
        <f aca="false">N7</f>
        <v>0</v>
      </c>
      <c r="O55" s="18" t="str">
        <f aca="false">O7</f>
        <v>'</v>
      </c>
      <c r="P55" s="18" t="n">
        <f aca="false">P7</f>
        <v>0</v>
      </c>
      <c r="Q55" s="18" t="n">
        <f aca="false">Q7</f>
        <v>0</v>
      </c>
      <c r="R55" s="18" t="n">
        <f aca="false">R7</f>
        <v>0</v>
      </c>
      <c r="S55" s="18" t="n">
        <f aca="false">S7</f>
        <v>0</v>
      </c>
      <c r="T55" s="18" t="str">
        <f aca="false">T7</f>
        <v>'</v>
      </c>
      <c r="U55" s="18" t="n">
        <f aca="false">U7</f>
        <v>0</v>
      </c>
      <c r="V55" s="18" t="n">
        <f aca="false">V7</f>
        <v>0</v>
      </c>
      <c r="W55" s="18" t="n">
        <f aca="false">W7</f>
        <v>0</v>
      </c>
      <c r="X55" s="18" t="n">
        <f aca="false">X7</f>
        <v>1</v>
      </c>
      <c r="Y55" s="18"/>
      <c r="Z55" s="18"/>
      <c r="AA55" s="18"/>
      <c r="AB55" s="18"/>
      <c r="AC55" s="19"/>
      <c r="AD55" s="18"/>
      <c r="AE55" s="17" t="s">
        <v>47</v>
      </c>
      <c r="AF55" s="18"/>
      <c r="AG55" s="18" t="n">
        <f aca="false">C7</f>
        <v>1</v>
      </c>
      <c r="AH55" s="18"/>
      <c r="AI55" s="20" t="str">
        <f aca="false">CONCATENATE("При сложении ", IF(F55+F56=2, "двух отрицательных", ""), IF(F55+F56=0, "двух положительных", ""), IF(F55+F56=1, "положительного и отрицательного", ""), " слагаемых получено ", IF(F58=0, "положи", "отрица"), "тельное число. Результат операции ", IF(Z58=AG58, "верный и корректный,", "НЕ верный и НЕ корректный,"), IF(Z58=AG58, "", " НЕ"), " совпадает с суммой десятичных эквивалентов")</f>
        <v>При сложении двух положительных слагаемых получено положительное число. Результат операции верный и корректный, совпадает с суммой десятичных эквивалентов</v>
      </c>
    </row>
    <row r="56" customFormat="false" ht="15.9" hidden="false" customHeight="false" outlineLevel="0" collapsed="false">
      <c r="C56" s="21" t="s">
        <v>48</v>
      </c>
      <c r="D56" s="22" t="s">
        <v>64</v>
      </c>
      <c r="F56" s="0" t="n">
        <f aca="false">F14</f>
        <v>0</v>
      </c>
      <c r="G56" s="0" t="n">
        <f aca="false">G14</f>
        <v>0</v>
      </c>
      <c r="H56" s="0" t="n">
        <f aca="false">H14</f>
        <v>0</v>
      </c>
      <c r="I56" s="0" t="n">
        <f aca="false">I14</f>
        <v>0</v>
      </c>
      <c r="J56" s="0" t="str">
        <f aca="false">J14</f>
        <v>'</v>
      </c>
      <c r="K56" s="0" t="n">
        <f aca="false">K14</f>
        <v>0</v>
      </c>
      <c r="L56" s="0" t="n">
        <f aca="false">L14</f>
        <v>0</v>
      </c>
      <c r="M56" s="0" t="n">
        <f aca="false">M14</f>
        <v>0</v>
      </c>
      <c r="N56" s="0" t="n">
        <f aca="false">N14</f>
        <v>0</v>
      </c>
      <c r="O56" s="0" t="str">
        <f aca="false">O14</f>
        <v>'</v>
      </c>
      <c r="P56" s="0" t="n">
        <f aca="false">P14</f>
        <v>0</v>
      </c>
      <c r="Q56" s="0" t="n">
        <f aca="false">Q14</f>
        <v>0</v>
      </c>
      <c r="R56" s="0" t="n">
        <f aca="false">R14</f>
        <v>0</v>
      </c>
      <c r="S56" s="0" t="n">
        <f aca="false">S14</f>
        <v>0</v>
      </c>
      <c r="T56" s="0" t="str">
        <f aca="false">T14</f>
        <v>'</v>
      </c>
      <c r="U56" s="0" t="n">
        <f aca="false">U14</f>
        <v>0</v>
      </c>
      <c r="V56" s="0" t="n">
        <f aca="false">V14</f>
        <v>0</v>
      </c>
      <c r="W56" s="0" t="n">
        <f aca="false">W14</f>
        <v>0</v>
      </c>
      <c r="X56" s="0" t="n">
        <f aca="false">X14</f>
        <v>1</v>
      </c>
      <c r="AC56" s="23"/>
      <c r="AD56" s="24" t="s">
        <v>48</v>
      </c>
      <c r="AE56" s="22" t="s">
        <v>65</v>
      </c>
      <c r="AG56" s="0" t="n">
        <f aca="false">C14</f>
        <v>1</v>
      </c>
      <c r="AI56" s="20"/>
    </row>
    <row r="57" customFormat="false" ht="13.8" hidden="false" customHeight="false" outlineLevel="0" collapsed="false">
      <c r="C57" s="25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Z57" s="27" t="n">
        <f aca="false">G58*2^14+H58*2^13+I58*2^12+K58*2^11+L58*2^10+M58*2^9+N58*2^8+P58*2^7+Q58*2^6+R58*2^5+S58*2^4+U58*2^3+V58*2^2+W58*2+X58</f>
        <v>2</v>
      </c>
      <c r="AC57" s="23"/>
      <c r="AE57" s="18"/>
      <c r="AF57" s="18"/>
      <c r="AG57" s="36"/>
      <c r="AI57" s="20"/>
    </row>
    <row r="58" customFormat="false" ht="15.9" hidden="false" customHeight="false" outlineLevel="0" collapsed="false">
      <c r="C58" s="25"/>
      <c r="F58" s="0" t="n">
        <f aca="false">MOD(F55+F56+IF((G55+G56&lt;&gt;G58)*(G55+G56&lt;&gt;0), 1, 0), 2)</f>
        <v>0</v>
      </c>
      <c r="G58" s="0" t="n">
        <f aca="false">MOD(G55+G56+IF((H55+H56&lt;&gt;H58)*(H55+H56&lt;&gt;0), 1, 0), 2)</f>
        <v>0</v>
      </c>
      <c r="H58" s="0" t="n">
        <f aca="false">MOD(H55+H56+IF((I55+I56&lt;&gt;I58)*(I55+I56&lt;&gt;0), 1, 0), 2)</f>
        <v>0</v>
      </c>
      <c r="I58" s="0" t="n">
        <f aca="false">MOD(I55+I56+IF((K55+K56&lt;&gt;K58)*(K55+K56&lt;&gt;0), 1, 0), 2)</f>
        <v>0</v>
      </c>
      <c r="J58" s="0" t="s">
        <v>51</v>
      </c>
      <c r="K58" s="0" t="n">
        <f aca="false">MOD(K55+K56+IF((L55+L56&lt;&gt;L58)*(L55+L56&lt;&gt;0), 1, 0), 2)</f>
        <v>0</v>
      </c>
      <c r="L58" s="0" t="n">
        <f aca="false">MOD(L55+L56+IF((M55+M56&lt;&gt;M58)*(M55+M56&lt;&gt;0), 1, 0), 2)</f>
        <v>0</v>
      </c>
      <c r="M58" s="0" t="n">
        <f aca="false">MOD(M55+M56+IF((N55+N56&lt;&gt;N58)*(N55+N56&lt;&gt;0), 1, 0), 2)</f>
        <v>0</v>
      </c>
      <c r="N58" s="0" t="n">
        <f aca="false">MOD(N55+N56+IF((P55+P56&lt;&gt;P58)*(P55+P56&lt;&gt;0), 1, 0), 2)</f>
        <v>0</v>
      </c>
      <c r="O58" s="0" t="s">
        <v>51</v>
      </c>
      <c r="P58" s="0" t="n">
        <f aca="false">MOD(P55+P56+IF((Q55+Q56&lt;&gt;Q58)*(Q55+Q56&lt;&gt;0), 1, 0), 2)</f>
        <v>0</v>
      </c>
      <c r="Q58" s="0" t="n">
        <f aca="false">MOD(Q55+Q56+IF((R55+R56&lt;&gt;R58)*(R55+R56&lt;&gt;0), 1, 0), 2)</f>
        <v>0</v>
      </c>
      <c r="R58" s="0" t="n">
        <f aca="false">MOD(R55+R56+IF((S55+S56&lt;&gt;S58)*(S55+S56&lt;&gt;0), 1, 0), 2)</f>
        <v>0</v>
      </c>
      <c r="S58" s="0" t="n">
        <f aca="false">MOD(S55+S56+IF((U55+U56&lt;&gt;U58)*(U55+U56&lt;&gt;0), 1, 0), 2)</f>
        <v>0</v>
      </c>
      <c r="T58" s="0" t="s">
        <v>51</v>
      </c>
      <c r="U58" s="0" t="n">
        <f aca="false">MOD(U55+U56+IF((V55+V56&lt;&gt;V58)*(V55+V56&lt;&gt;0), 1, 0), 2)</f>
        <v>0</v>
      </c>
      <c r="V58" s="0" t="n">
        <f aca="false">MOD(V55+V56+IF((W55+W56&lt;&gt;W58)*(W55+W56&lt;&gt;0), 1, 0), 2)</f>
        <v>0</v>
      </c>
      <c r="W58" s="0" t="n">
        <f aca="false">MOD(W55+W56+IF((X55+X56&lt;&gt;X58)*(X55+X56&lt;&gt;0), 1, 0), 2)</f>
        <v>1</v>
      </c>
      <c r="X58" s="0" t="n">
        <f aca="false">MOD(X55+X56, 2)</f>
        <v>0</v>
      </c>
      <c r="Y58" s="28" t="s">
        <v>52</v>
      </c>
      <c r="Z58" s="0" t="n">
        <f aca="false">IF(F58=0, Z57, Z57-2^15)</f>
        <v>2</v>
      </c>
      <c r="AA58" s="28" t="s">
        <v>53</v>
      </c>
      <c r="AB58" s="22"/>
      <c r="AC58" s="23"/>
      <c r="AG58" s="0" t="n">
        <f aca="false">AG55+AG56</f>
        <v>2</v>
      </c>
      <c r="AH58" s="28" t="s">
        <v>53</v>
      </c>
      <c r="AI58" s="20"/>
    </row>
    <row r="59" customFormat="false" ht="13.8" hidden="false" customHeight="false" outlineLevel="0" collapsed="false">
      <c r="C59" s="25"/>
      <c r="AC59" s="23"/>
      <c r="AI59" s="20"/>
    </row>
    <row r="60" customFormat="false" ht="13.8" hidden="false" customHeight="false" outlineLevel="0" collapsed="false">
      <c r="C60" s="29"/>
      <c r="D60" s="30"/>
      <c r="E60" s="30"/>
      <c r="F60" s="31" t="s">
        <v>54</v>
      </c>
      <c r="G60" s="31"/>
      <c r="H60" s="31"/>
      <c r="I60" s="30" t="n">
        <f aca="false">1*(1*(MOD(F55+F56, 2)&lt;&gt;F58)+F55+F56&gt;1)</f>
        <v>0</v>
      </c>
      <c r="J60" s="30"/>
      <c r="K60" s="31" t="s">
        <v>55</v>
      </c>
      <c r="L60" s="31"/>
      <c r="M60" s="31"/>
      <c r="N60" s="30" t="n">
        <f aca="false">MOD(SUM(P58:X58)+1, 2)</f>
        <v>0</v>
      </c>
      <c r="O60" s="30"/>
      <c r="P60" s="31" t="s">
        <v>56</v>
      </c>
      <c r="Q60" s="31"/>
      <c r="R60" s="31"/>
      <c r="S60" s="30" t="n">
        <f aca="false">1*(MOD(S55+S56, 2)&lt;&gt;S58)</f>
        <v>0</v>
      </c>
      <c r="T60" s="30"/>
      <c r="U60" s="31" t="s">
        <v>57</v>
      </c>
      <c r="V60" s="31"/>
      <c r="W60" s="31"/>
      <c r="X60" s="30" t="n">
        <f aca="false">1*(SUM(G58:X58)=0)</f>
        <v>0</v>
      </c>
      <c r="Y60" s="30"/>
      <c r="Z60" s="31" t="s">
        <v>58</v>
      </c>
      <c r="AA60" s="30" t="n">
        <f aca="false">F58</f>
        <v>0</v>
      </c>
      <c r="AB60" s="30"/>
      <c r="AC60" s="32" t="s">
        <v>59</v>
      </c>
      <c r="AD60" s="30" t="n">
        <f aca="false">IF((F55=F56)*(F56&lt;&gt;F58), 1, 0)</f>
        <v>0</v>
      </c>
      <c r="AE60" s="30"/>
      <c r="AF60" s="30"/>
      <c r="AG60" s="30"/>
      <c r="AH60" s="30"/>
      <c r="AI60" s="20"/>
    </row>
    <row r="61" customFormat="false" ht="13.8" hidden="false" customHeight="false" outlineLevel="0" collapsed="false">
      <c r="AC61" s="23"/>
      <c r="AI61" s="34"/>
    </row>
    <row r="62" customFormat="false" ht="15.9" hidden="false" customHeight="false" outlineLevel="0" collapsed="false">
      <c r="C62" s="16"/>
      <c r="D62" s="17" t="s">
        <v>68</v>
      </c>
      <c r="E62" s="18"/>
      <c r="F62" s="18" t="n">
        <f aca="false">F17</f>
        <v>0</v>
      </c>
      <c r="G62" s="18" t="n">
        <f aca="false">G17</f>
        <v>0</v>
      </c>
      <c r="H62" s="18" t="n">
        <f aca="false">H17</f>
        <v>0</v>
      </c>
      <c r="I62" s="18" t="n">
        <f aca="false">I17</f>
        <v>0</v>
      </c>
      <c r="J62" s="18" t="str">
        <f aca="false">J17</f>
        <v>'</v>
      </c>
      <c r="K62" s="18" t="n">
        <f aca="false">K17</f>
        <v>0</v>
      </c>
      <c r="L62" s="18" t="n">
        <f aca="false">L17</f>
        <v>0</v>
      </c>
      <c r="M62" s="18" t="n">
        <f aca="false">M17</f>
        <v>0</v>
      </c>
      <c r="N62" s="18" t="n">
        <f aca="false">N17</f>
        <v>0</v>
      </c>
      <c r="O62" s="18" t="str">
        <f aca="false">O17</f>
        <v>'</v>
      </c>
      <c r="P62" s="18" t="n">
        <f aca="false">P17</f>
        <v>0</v>
      </c>
      <c r="Q62" s="18" t="n">
        <f aca="false">Q17</f>
        <v>0</v>
      </c>
      <c r="R62" s="18" t="n">
        <f aca="false">R17</f>
        <v>0</v>
      </c>
      <c r="S62" s="18" t="n">
        <f aca="false">S17</f>
        <v>0</v>
      </c>
      <c r="T62" s="18" t="str">
        <f aca="false">T17</f>
        <v>'</v>
      </c>
      <c r="U62" s="18" t="n">
        <f aca="false">U17</f>
        <v>0</v>
      </c>
      <c r="V62" s="18" t="n">
        <f aca="false">V17</f>
        <v>0</v>
      </c>
      <c r="W62" s="18" t="n">
        <f aca="false">W17</f>
        <v>1</v>
      </c>
      <c r="X62" s="18" t="n">
        <f aca="false">X17</f>
        <v>0</v>
      </c>
      <c r="Y62" s="18"/>
      <c r="Z62" s="18"/>
      <c r="AA62" s="18"/>
      <c r="AB62" s="18"/>
      <c r="AC62" s="19"/>
      <c r="AD62" s="18"/>
      <c r="AE62" s="17" t="s">
        <v>69</v>
      </c>
      <c r="AF62" s="18"/>
      <c r="AG62" s="18" t="n">
        <f aca="false">C17</f>
        <v>2</v>
      </c>
      <c r="AH62" s="18"/>
      <c r="AI62" s="20" t="str">
        <f aca="false">CONCATENATE("При сложении ", IF(F62+F63=2, "двух отрицательных", ""), IF(F62+F63=0, "двух положительных", ""), IF(F62+F63=1, "положительного и отрицательного", ""), " слагаемых получено ", IF(F65=0, "положи", "отрица"), "тельное число. Результат операции ", IF(Z65=AG65, "верный и корректный,", "НЕ верный и НЕ корректный,"), IF(Z65=AG65, "", " НЕ"), " совпадает с суммой десятичных эквивалентов")</f>
        <v>При сложении двух положительных слагаемых получено положительное число. Результат операции верный и корректный, совпадает с суммой десятичных эквивалентов</v>
      </c>
    </row>
    <row r="63" customFormat="false" ht="15.9" hidden="false" customHeight="false" outlineLevel="0" collapsed="false">
      <c r="C63" s="21" t="s">
        <v>48</v>
      </c>
      <c r="D63" s="22" t="s">
        <v>60</v>
      </c>
      <c r="F63" s="0" t="n">
        <f aca="false">F9</f>
        <v>0</v>
      </c>
      <c r="G63" s="0" t="n">
        <f aca="false">G9</f>
        <v>0</v>
      </c>
      <c r="H63" s="0" t="n">
        <f aca="false">H9</f>
        <v>0</v>
      </c>
      <c r="I63" s="0" t="n">
        <f aca="false">I9</f>
        <v>0</v>
      </c>
      <c r="J63" s="0" t="str">
        <f aca="false">J9</f>
        <v>'</v>
      </c>
      <c r="K63" s="0" t="n">
        <f aca="false">K9</f>
        <v>0</v>
      </c>
      <c r="L63" s="0" t="n">
        <f aca="false">L9</f>
        <v>0</v>
      </c>
      <c r="M63" s="0" t="n">
        <f aca="false">M9</f>
        <v>0</v>
      </c>
      <c r="N63" s="0" t="n">
        <f aca="false">N9</f>
        <v>0</v>
      </c>
      <c r="O63" s="0" t="str">
        <f aca="false">O9</f>
        <v>'</v>
      </c>
      <c r="P63" s="0" t="n">
        <f aca="false">P9</f>
        <v>0</v>
      </c>
      <c r="Q63" s="0" t="n">
        <f aca="false">Q9</f>
        <v>0</v>
      </c>
      <c r="R63" s="0" t="n">
        <f aca="false">R9</f>
        <v>0</v>
      </c>
      <c r="S63" s="0" t="n">
        <f aca="false">S9</f>
        <v>0</v>
      </c>
      <c r="T63" s="0" t="str">
        <f aca="false">T9</f>
        <v>'</v>
      </c>
      <c r="U63" s="0" t="n">
        <f aca="false">U9</f>
        <v>0</v>
      </c>
      <c r="V63" s="0" t="n">
        <f aca="false">V9</f>
        <v>0</v>
      </c>
      <c r="W63" s="0" t="n">
        <f aca="false">W9</f>
        <v>0</v>
      </c>
      <c r="X63" s="0" t="n">
        <f aca="false">X9</f>
        <v>0</v>
      </c>
      <c r="AC63" s="23"/>
      <c r="AD63" s="24" t="s">
        <v>48</v>
      </c>
      <c r="AE63" s="22" t="s">
        <v>61</v>
      </c>
      <c r="AG63" s="0" t="n">
        <f aca="false">C9</f>
        <v>0</v>
      </c>
      <c r="AI63" s="20"/>
    </row>
    <row r="64" customFormat="false" ht="13.8" hidden="false" customHeight="false" outlineLevel="0" collapsed="false">
      <c r="C64" s="2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Z64" s="27" t="n">
        <f aca="false">G65*2^14+H65*2^13+I65*2^12+K65*2^11+L65*2^10+M65*2^9+N65*2^8+P65*2^7+Q65*2^6+R65*2^5+S65*2^4+U65*2^3+V65*2^2+W65*2+X65</f>
        <v>2</v>
      </c>
      <c r="AC64" s="23"/>
      <c r="AE64" s="18"/>
      <c r="AF64" s="18"/>
      <c r="AG64" s="36"/>
      <c r="AI64" s="20"/>
    </row>
    <row r="65" customFormat="false" ht="15.9" hidden="false" customHeight="false" outlineLevel="0" collapsed="false">
      <c r="C65" s="25"/>
      <c r="F65" s="0" t="n">
        <f aca="false">MOD(F62+F63+IF((G62+G63&lt;&gt;G65)*(G62+G63&lt;&gt;0), 1, 0), 2)</f>
        <v>0</v>
      </c>
      <c r="G65" s="0" t="n">
        <f aca="false">MOD(G62+G63+IF((H62+H63&lt;&gt;H65)*(H62+H63&lt;&gt;0), 1, 0), 2)</f>
        <v>0</v>
      </c>
      <c r="H65" s="0" t="n">
        <f aca="false">MOD(H62+H63+IF((I62+I63&lt;&gt;I65)*(I62+I63&lt;&gt;0), 1, 0), 2)</f>
        <v>0</v>
      </c>
      <c r="I65" s="0" t="n">
        <f aca="false">MOD(I62+I63+IF((K62+K63&lt;&gt;K65)*(K62+K63&lt;&gt;0), 1, 0), 2)</f>
        <v>0</v>
      </c>
      <c r="J65" s="0" t="s">
        <v>51</v>
      </c>
      <c r="K65" s="0" t="n">
        <f aca="false">MOD(K62+K63+IF((L62+L63&lt;&gt;L65)*(L62+L63&lt;&gt;0), 1, 0), 2)</f>
        <v>0</v>
      </c>
      <c r="L65" s="0" t="n">
        <f aca="false">MOD(L62+L63+IF((M62+M63&lt;&gt;M65)*(M62+M63&lt;&gt;0), 1, 0), 2)</f>
        <v>0</v>
      </c>
      <c r="M65" s="0" t="n">
        <f aca="false">MOD(M62+M63+IF((N62+N63&lt;&gt;N65)*(N62+N63&lt;&gt;0), 1, 0), 2)</f>
        <v>0</v>
      </c>
      <c r="N65" s="0" t="n">
        <f aca="false">MOD(N62+N63+IF((P62+P63&lt;&gt;P65)*(P62+P63&lt;&gt;0), 1, 0), 2)</f>
        <v>0</v>
      </c>
      <c r="O65" s="0" t="s">
        <v>51</v>
      </c>
      <c r="P65" s="0" t="n">
        <f aca="false">MOD(P62+P63+IF((Q62+Q63&lt;&gt;Q65)*(Q62+Q63&lt;&gt;0), 1, 0), 2)</f>
        <v>0</v>
      </c>
      <c r="Q65" s="0" t="n">
        <f aca="false">MOD(Q62+Q63+IF((R62+R63&lt;&gt;R65)*(R62+R63&lt;&gt;0), 1, 0), 2)</f>
        <v>0</v>
      </c>
      <c r="R65" s="0" t="n">
        <f aca="false">MOD(R62+R63+IF((S62+S63&lt;&gt;S65)*(S62+S63&lt;&gt;0), 1, 0), 2)</f>
        <v>0</v>
      </c>
      <c r="S65" s="0" t="n">
        <f aca="false">MOD(S62+S63+IF((U62+U63&lt;&gt;U65)*(U62+U63&lt;&gt;0), 1, 0), 2)</f>
        <v>0</v>
      </c>
      <c r="T65" s="0" t="s">
        <v>51</v>
      </c>
      <c r="U65" s="0" t="n">
        <f aca="false">MOD(U62+U63+IF((V62+V63&lt;&gt;V65)*(V62+V63&lt;&gt;0), 1, 0), 2)</f>
        <v>0</v>
      </c>
      <c r="V65" s="0" t="n">
        <f aca="false">MOD(V62+V63+IF((W62+W63&lt;&gt;W65)*(W62+W63&lt;&gt;0), 1, 0), 2)</f>
        <v>0</v>
      </c>
      <c r="W65" s="0" t="n">
        <f aca="false">MOD(W62+W63+IF((X62+X63&lt;&gt;X65)*(X62+X63&lt;&gt;0), 1, 0), 2)</f>
        <v>1</v>
      </c>
      <c r="X65" s="0" t="n">
        <f aca="false">MOD(X62+X63, 2)</f>
        <v>0</v>
      </c>
      <c r="Y65" s="28" t="s">
        <v>52</v>
      </c>
      <c r="Z65" s="0" t="n">
        <f aca="false">IF(F65=0, Z64, Z64-2^15)</f>
        <v>2</v>
      </c>
      <c r="AA65" s="28" t="s">
        <v>53</v>
      </c>
      <c r="AB65" s="22"/>
      <c r="AC65" s="23"/>
      <c r="AG65" s="0" t="n">
        <f aca="false">AG62+AG63</f>
        <v>2</v>
      </c>
      <c r="AH65" s="28" t="s">
        <v>53</v>
      </c>
      <c r="AI65" s="20"/>
    </row>
    <row r="66" customFormat="false" ht="13.8" hidden="false" customHeight="false" outlineLevel="0" collapsed="false">
      <c r="C66" s="25"/>
      <c r="AC66" s="23"/>
      <c r="AI66" s="20"/>
    </row>
    <row r="67" customFormat="false" ht="13.8" hidden="false" customHeight="false" outlineLevel="0" collapsed="false">
      <c r="C67" s="29"/>
      <c r="D67" s="30"/>
      <c r="E67" s="30"/>
      <c r="F67" s="31" t="s">
        <v>54</v>
      </c>
      <c r="G67" s="31"/>
      <c r="H67" s="31"/>
      <c r="I67" s="30" t="n">
        <f aca="false">1*(1*(MOD(F62+F63, 2)&lt;&gt;F65)+F62+F63&gt;1)</f>
        <v>0</v>
      </c>
      <c r="J67" s="30"/>
      <c r="K67" s="31" t="s">
        <v>55</v>
      </c>
      <c r="L67" s="31"/>
      <c r="M67" s="31"/>
      <c r="N67" s="30" t="n">
        <f aca="false">MOD(SUM(P65:X65)+1, 2)</f>
        <v>0</v>
      </c>
      <c r="O67" s="30"/>
      <c r="P67" s="31" t="s">
        <v>56</v>
      </c>
      <c r="Q67" s="31"/>
      <c r="R67" s="31"/>
      <c r="S67" s="30" t="n">
        <f aca="false">1*(MOD(S62+S63, 2)&lt;&gt;S65)</f>
        <v>0</v>
      </c>
      <c r="T67" s="30"/>
      <c r="U67" s="31" t="s">
        <v>57</v>
      </c>
      <c r="V67" s="31"/>
      <c r="W67" s="31"/>
      <c r="X67" s="30" t="n">
        <f aca="false">1*(SUM(G65:X65)=0)</f>
        <v>0</v>
      </c>
      <c r="Y67" s="30"/>
      <c r="Z67" s="31" t="s">
        <v>58</v>
      </c>
      <c r="AA67" s="30" t="n">
        <f aca="false">F65</f>
        <v>0</v>
      </c>
      <c r="AB67" s="30"/>
      <c r="AC67" s="32" t="s">
        <v>59</v>
      </c>
      <c r="AD67" s="30" t="n">
        <f aca="false">IF((F62=F63)*(F63&lt;&gt;F65), 1, 0)</f>
        <v>0</v>
      </c>
      <c r="AE67" s="30"/>
      <c r="AF67" s="30"/>
      <c r="AG67" s="30"/>
      <c r="AH67" s="30"/>
      <c r="AI67" s="20"/>
    </row>
    <row r="70" customFormat="false" ht="12.8" hidden="false" customHeight="false" outlineLevel="0" collapsed="false">
      <c r="A70" s="0" t="s">
        <v>70</v>
      </c>
    </row>
  </sheetData>
  <mergeCells count="36">
    <mergeCell ref="AI20:AI25"/>
    <mergeCell ref="F25:H25"/>
    <mergeCell ref="K25:M25"/>
    <mergeCell ref="P25:R25"/>
    <mergeCell ref="U25:W25"/>
    <mergeCell ref="C26:D26"/>
    <mergeCell ref="AI27:AI32"/>
    <mergeCell ref="F32:H32"/>
    <mergeCell ref="K32:M32"/>
    <mergeCell ref="P32:R32"/>
    <mergeCell ref="U32:W32"/>
    <mergeCell ref="AI34:AI39"/>
    <mergeCell ref="F39:H39"/>
    <mergeCell ref="K39:M39"/>
    <mergeCell ref="P39:R39"/>
    <mergeCell ref="U39:W39"/>
    <mergeCell ref="AI41:AI46"/>
    <mergeCell ref="F46:H46"/>
    <mergeCell ref="K46:M46"/>
    <mergeCell ref="P46:R46"/>
    <mergeCell ref="U46:W46"/>
    <mergeCell ref="AI48:AI53"/>
    <mergeCell ref="F53:H53"/>
    <mergeCell ref="K53:M53"/>
    <mergeCell ref="P53:R53"/>
    <mergeCell ref="U53:W53"/>
    <mergeCell ref="AI55:AI60"/>
    <mergeCell ref="F60:H60"/>
    <mergeCell ref="K60:M60"/>
    <mergeCell ref="P60:R60"/>
    <mergeCell ref="U60:W60"/>
    <mergeCell ref="AI62:AI67"/>
    <mergeCell ref="F67:H67"/>
    <mergeCell ref="K67:M67"/>
    <mergeCell ref="P67:R67"/>
    <mergeCell ref="U67:W67"/>
  </mergeCells>
  <conditionalFormatting sqref="F7:X10">
    <cfRule type="cellIs" priority="2" operator="equal" aboveAverage="0" equalAverage="0" bottom="0" percent="0" rank="0" text="" dxfId="0">
      <formula>1</formula>
    </cfRule>
  </conditionalFormatting>
  <conditionalFormatting sqref="F7:X10">
    <cfRule type="cellIs" priority="3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875" right="0.7875" top="1.21944444444444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&amp;L&amp;"Times New Roman,Regular"&amp;12Макаров Алексей, вариант 7</oddHeader>
    <oddFooter>&amp;L&amp;"Times New Roman,Regular"&amp;12Файл создан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2025-12-14T22:49:19Z</dcterms:created>
  <dc:creator/>
  <dc:description/>
  <dc:language>en-US</dc:language>
  <cp:lastModifiedBy/>
  <dcterms:modified xsi:type="dcterms:W3CDTF">2025-12-15T18:29:05Z</dcterms:modified>
  <cp:revision>8</cp:revision>
  <dc:subject/>
  <dc:title/>
</cp:coreProperties>
</file>